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isar\OneDrive\Desktop\Customer Profitability and Segmentation model\"/>
    </mc:Choice>
  </mc:AlternateContent>
  <xr:revisionPtr revIDLastSave="0" documentId="13_ncr:1_{6AE2F8A3-7CC0-4C78-AAD7-B0D7576CB040}" xr6:coauthVersionLast="47" xr6:coauthVersionMax="47" xr10:uidLastSave="{00000000-0000-0000-0000-000000000000}"/>
  <bookViews>
    <workbookView xWindow="-108" yWindow="-108" windowWidth="23256" windowHeight="12456" activeTab="4" xr2:uid="{CD468472-BE4F-443E-9DC3-49821750C379}"/>
  </bookViews>
  <sheets>
    <sheet name="Customer_Master" sheetId="7" r:id="rId1"/>
    <sheet name="Cost_Drivers" sheetId="2" r:id="rId2"/>
    <sheet name="Finance_Assumptions" sheetId="3" r:id="rId3"/>
    <sheet name="Customer_Economics" sheetId="10" r:id="rId4"/>
    <sheet name="Segmentation_Model" sheetId="11" r:id="rId5"/>
    <sheet name="Notes" sheetId="9" r:id="rId6"/>
  </sheets>
  <definedNames>
    <definedName name="_xlnm._FilterDatabase" localSheetId="1" hidden="1">Cost_Drivers!$A$1:$F$1</definedName>
    <definedName name="_xlnm._FilterDatabase" localSheetId="3" hidden="1">Customer_Economics!$B$1:$B$251</definedName>
    <definedName name="_xlnm._FilterDatabase" localSheetId="0" hidden="1">Customer_Master!$C$1:$C$251</definedName>
    <definedName name="_xlnm._FilterDatabase" localSheetId="4" hidden="1">Segmentation_Model!$A$2:$S$252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1" l="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3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" i="10"/>
  <c r="R149" i="11" l="1"/>
  <c r="S149" i="11" s="1"/>
  <c r="R148" i="11"/>
  <c r="S148" i="11" s="1"/>
  <c r="R211" i="11"/>
  <c r="S211" i="11" s="1"/>
  <c r="R195" i="11"/>
  <c r="S195" i="11" s="1"/>
  <c r="R147" i="11"/>
  <c r="S147" i="11" s="1"/>
  <c r="R115" i="11"/>
  <c r="S115" i="11" s="1"/>
  <c r="R99" i="11"/>
  <c r="S99" i="11" s="1"/>
  <c r="R67" i="11"/>
  <c r="S67" i="11" s="1"/>
  <c r="R51" i="11"/>
  <c r="S51" i="11" s="1"/>
  <c r="R35" i="11"/>
  <c r="S35" i="11" s="1"/>
  <c r="M81" i="11"/>
  <c r="M49" i="11"/>
  <c r="M193" i="11"/>
  <c r="M145" i="11"/>
  <c r="R226" i="11"/>
  <c r="S226" i="11" s="1"/>
  <c r="R162" i="11"/>
  <c r="S162" i="11" s="1"/>
  <c r="R114" i="11"/>
  <c r="S114" i="11" s="1"/>
  <c r="R66" i="11"/>
  <c r="S66" i="11" s="1"/>
  <c r="R210" i="11"/>
  <c r="S210" i="11" s="1"/>
  <c r="R146" i="11"/>
  <c r="S146" i="11" s="1"/>
  <c r="R98" i="11"/>
  <c r="S98" i="11" s="1"/>
  <c r="R194" i="11"/>
  <c r="S194" i="11" s="1"/>
  <c r="R50" i="11"/>
  <c r="S50" i="11" s="1"/>
  <c r="R178" i="11"/>
  <c r="S178" i="11" s="1"/>
  <c r="R34" i="11"/>
  <c r="S34" i="11" s="1"/>
  <c r="M144" i="11"/>
  <c r="M138" i="11"/>
  <c r="M90" i="11"/>
  <c r="M42" i="11"/>
  <c r="R40" i="11"/>
  <c r="S40" i="11" s="1"/>
  <c r="M106" i="11"/>
  <c r="M58" i="11"/>
  <c r="R24" i="11"/>
  <c r="S24" i="11" s="1"/>
  <c r="M43" i="11"/>
  <c r="M186" i="11"/>
  <c r="M122" i="11"/>
  <c r="M74" i="11"/>
  <c r="R248" i="11"/>
  <c r="S248" i="11" s="1"/>
  <c r="R232" i="11"/>
  <c r="S232" i="11" s="1"/>
  <c r="R200" i="11"/>
  <c r="S200" i="11" s="1"/>
  <c r="R168" i="11"/>
  <c r="S168" i="11" s="1"/>
  <c r="R152" i="11"/>
  <c r="S152" i="11" s="1"/>
  <c r="R136" i="11"/>
  <c r="S136" i="11" s="1"/>
  <c r="R88" i="11"/>
  <c r="S88" i="11" s="1"/>
  <c r="R56" i="11"/>
  <c r="S56" i="11" s="1"/>
  <c r="M143" i="11"/>
  <c r="R113" i="11"/>
  <c r="S113" i="11" s="1"/>
  <c r="R33" i="11"/>
  <c r="S33" i="11" s="1"/>
  <c r="M175" i="11"/>
  <c r="R238" i="11"/>
  <c r="S238" i="11" s="1"/>
  <c r="R222" i="11"/>
  <c r="S222" i="11" s="1"/>
  <c r="R206" i="11"/>
  <c r="S206" i="11" s="1"/>
  <c r="R190" i="11"/>
  <c r="S190" i="11" s="1"/>
  <c r="R174" i="11"/>
  <c r="S174" i="11" s="1"/>
  <c r="R158" i="11"/>
  <c r="S158" i="11" s="1"/>
  <c r="R142" i="11"/>
  <c r="S142" i="11" s="1"/>
  <c r="R126" i="11"/>
  <c r="S126" i="11" s="1"/>
  <c r="R110" i="11"/>
  <c r="S110" i="11" s="1"/>
  <c r="R94" i="11"/>
  <c r="S94" i="11" s="1"/>
  <c r="R78" i="11"/>
  <c r="S78" i="11" s="1"/>
  <c r="R62" i="11"/>
  <c r="S62" i="11" s="1"/>
  <c r="R46" i="11"/>
  <c r="S46" i="11" s="1"/>
  <c r="R30" i="11"/>
  <c r="S30" i="11" s="1"/>
  <c r="R14" i="11"/>
  <c r="S14" i="11" s="1"/>
  <c r="M192" i="11"/>
  <c r="R161" i="11"/>
  <c r="S161" i="11" s="1"/>
  <c r="R247" i="11"/>
  <c r="S247" i="11" s="1"/>
  <c r="R231" i="11"/>
  <c r="S231" i="11" s="1"/>
  <c r="R215" i="11"/>
  <c r="S215" i="11" s="1"/>
  <c r="R199" i="11"/>
  <c r="S199" i="11" s="1"/>
  <c r="R183" i="11"/>
  <c r="S183" i="11" s="1"/>
  <c r="R167" i="11"/>
  <c r="S167" i="11" s="1"/>
  <c r="R151" i="11"/>
  <c r="S151" i="11" s="1"/>
  <c r="R135" i="11"/>
  <c r="S135" i="11" s="1"/>
  <c r="R119" i="11"/>
  <c r="S119" i="11" s="1"/>
  <c r="R103" i="11"/>
  <c r="S103" i="11" s="1"/>
  <c r="R87" i="11"/>
  <c r="S87" i="11" s="1"/>
  <c r="R71" i="11"/>
  <c r="S71" i="11" s="1"/>
  <c r="R7" i="11"/>
  <c r="S7" i="11" s="1"/>
  <c r="R225" i="11"/>
  <c r="S225" i="11" s="1"/>
  <c r="R145" i="11"/>
  <c r="S145" i="11" s="1"/>
  <c r="R65" i="11"/>
  <c r="S65" i="11" s="1"/>
  <c r="R55" i="11"/>
  <c r="S55" i="11" s="1"/>
  <c r="M203" i="11"/>
  <c r="R246" i="11"/>
  <c r="S246" i="11" s="1"/>
  <c r="R198" i="11"/>
  <c r="S198" i="11" s="1"/>
  <c r="R150" i="11"/>
  <c r="S150" i="11" s="1"/>
  <c r="R134" i="11"/>
  <c r="S134" i="11" s="1"/>
  <c r="R86" i="11"/>
  <c r="S86" i="11" s="1"/>
  <c r="R54" i="11"/>
  <c r="S54" i="11" s="1"/>
  <c r="R6" i="11"/>
  <c r="S6" i="11" s="1"/>
  <c r="M250" i="11"/>
  <c r="M234" i="11"/>
  <c r="M218" i="11"/>
  <c r="M202" i="11"/>
  <c r="M26" i="11"/>
  <c r="M10" i="11"/>
  <c r="R245" i="11"/>
  <c r="S245" i="11" s="1"/>
  <c r="R213" i="11"/>
  <c r="S213" i="11" s="1"/>
  <c r="R181" i="11"/>
  <c r="S181" i="11" s="1"/>
  <c r="R133" i="11"/>
  <c r="S133" i="11" s="1"/>
  <c r="R85" i="11"/>
  <c r="S85" i="11" s="1"/>
  <c r="R37" i="11"/>
  <c r="S37" i="11" s="1"/>
  <c r="R193" i="11"/>
  <c r="S193" i="11" s="1"/>
  <c r="R49" i="11"/>
  <c r="S49" i="11" s="1"/>
  <c r="M191" i="11"/>
  <c r="M204" i="11"/>
  <c r="R23" i="11"/>
  <c r="S23" i="11" s="1"/>
  <c r="R212" i="11"/>
  <c r="S212" i="11" s="1"/>
  <c r="R180" i="11"/>
  <c r="S180" i="11" s="1"/>
  <c r="R84" i="11"/>
  <c r="S84" i="11" s="1"/>
  <c r="R36" i="11"/>
  <c r="S36" i="11" s="1"/>
  <c r="R177" i="11"/>
  <c r="S177" i="11" s="1"/>
  <c r="R97" i="11"/>
  <c r="S97" i="11" s="1"/>
  <c r="R39" i="11"/>
  <c r="S39" i="11" s="1"/>
  <c r="M11" i="11"/>
  <c r="R214" i="11"/>
  <c r="S214" i="11" s="1"/>
  <c r="R166" i="11"/>
  <c r="S166" i="11" s="1"/>
  <c r="R118" i="11"/>
  <c r="S118" i="11" s="1"/>
  <c r="R70" i="11"/>
  <c r="S70" i="11" s="1"/>
  <c r="R38" i="11"/>
  <c r="S38" i="11" s="1"/>
  <c r="R230" i="11"/>
  <c r="S230" i="11" s="1"/>
  <c r="R182" i="11"/>
  <c r="S182" i="11" s="1"/>
  <c r="R102" i="11"/>
  <c r="S102" i="11" s="1"/>
  <c r="R22" i="11"/>
  <c r="S22" i="11" s="1"/>
  <c r="R221" i="11"/>
  <c r="S221" i="11" s="1"/>
  <c r="R141" i="11"/>
  <c r="S141" i="11" s="1"/>
  <c r="R93" i="11"/>
  <c r="S93" i="11" s="1"/>
  <c r="R29" i="11"/>
  <c r="S29" i="11" s="1"/>
  <c r="R204" i="11"/>
  <c r="S204" i="11" s="1"/>
  <c r="R140" i="11"/>
  <c r="S140" i="11" s="1"/>
  <c r="R124" i="11"/>
  <c r="S124" i="11" s="1"/>
  <c r="R60" i="11"/>
  <c r="S60" i="11" s="1"/>
  <c r="R219" i="11"/>
  <c r="S219" i="11" s="1"/>
  <c r="R139" i="11"/>
  <c r="S139" i="11" s="1"/>
  <c r="R75" i="11"/>
  <c r="S75" i="11" s="1"/>
  <c r="R43" i="11"/>
  <c r="S43" i="11" s="1"/>
  <c r="M170" i="11"/>
  <c r="M201" i="11"/>
  <c r="M137" i="11"/>
  <c r="M73" i="11"/>
  <c r="M57" i="11"/>
  <c r="R9" i="11"/>
  <c r="S9" i="11" s="1"/>
  <c r="M248" i="11"/>
  <c r="M216" i="11"/>
  <c r="M152" i="11"/>
  <c r="M88" i="11"/>
  <c r="M40" i="11"/>
  <c r="R184" i="11"/>
  <c r="S184" i="11" s="1"/>
  <c r="R120" i="11"/>
  <c r="S120" i="11" s="1"/>
  <c r="R8" i="11"/>
  <c r="S8" i="11" s="1"/>
  <c r="R82" i="11"/>
  <c r="S82" i="11" s="1"/>
  <c r="M241" i="11"/>
  <c r="M225" i="11"/>
  <c r="M209" i="11"/>
  <c r="M177" i="11"/>
  <c r="M161" i="11"/>
  <c r="M129" i="11"/>
  <c r="M113" i="11"/>
  <c r="M97" i="11"/>
  <c r="M65" i="11"/>
  <c r="M33" i="11"/>
  <c r="M17" i="11"/>
  <c r="R241" i="11"/>
  <c r="S241" i="11" s="1"/>
  <c r="R81" i="11"/>
  <c r="S81" i="11" s="1"/>
  <c r="R237" i="11"/>
  <c r="S237" i="11" s="1"/>
  <c r="R189" i="11"/>
  <c r="S189" i="11" s="1"/>
  <c r="R125" i="11"/>
  <c r="S125" i="11" s="1"/>
  <c r="R61" i="11"/>
  <c r="S61" i="11" s="1"/>
  <c r="R220" i="11"/>
  <c r="S220" i="11" s="1"/>
  <c r="R156" i="11"/>
  <c r="S156" i="11" s="1"/>
  <c r="R108" i="11"/>
  <c r="S108" i="11" s="1"/>
  <c r="R44" i="11"/>
  <c r="S44" i="11" s="1"/>
  <c r="M75" i="11"/>
  <c r="R251" i="11"/>
  <c r="S251" i="11" s="1"/>
  <c r="R187" i="11"/>
  <c r="S187" i="11" s="1"/>
  <c r="R91" i="11"/>
  <c r="S91" i="11" s="1"/>
  <c r="R11" i="11"/>
  <c r="S11" i="11" s="1"/>
  <c r="M154" i="11"/>
  <c r="M217" i="11"/>
  <c r="M153" i="11"/>
  <c r="M89" i="11"/>
  <c r="M25" i="11"/>
  <c r="R243" i="11"/>
  <c r="S243" i="11" s="1"/>
  <c r="M232" i="11"/>
  <c r="M168" i="11"/>
  <c r="M8" i="11"/>
  <c r="R242" i="11"/>
  <c r="S242" i="11" s="1"/>
  <c r="R18" i="11"/>
  <c r="S18" i="11" s="1"/>
  <c r="M246" i="11"/>
  <c r="M230" i="11"/>
  <c r="M214" i="11"/>
  <c r="M182" i="11"/>
  <c r="M150" i="11"/>
  <c r="M134" i="11"/>
  <c r="M118" i="11"/>
  <c r="M102" i="11"/>
  <c r="M86" i="11"/>
  <c r="M70" i="11"/>
  <c r="M54" i="11"/>
  <c r="M38" i="11"/>
  <c r="M22" i="11"/>
  <c r="M6" i="11"/>
  <c r="M240" i="11"/>
  <c r="M224" i="11"/>
  <c r="M208" i="11"/>
  <c r="M176" i="11"/>
  <c r="M160" i="11"/>
  <c r="M128" i="11"/>
  <c r="M96" i="11"/>
  <c r="M80" i="11"/>
  <c r="M64" i="11"/>
  <c r="M48" i="11"/>
  <c r="M32" i="11"/>
  <c r="M16" i="11"/>
  <c r="R205" i="11"/>
  <c r="S205" i="11" s="1"/>
  <c r="R157" i="11"/>
  <c r="S157" i="11" s="1"/>
  <c r="R109" i="11"/>
  <c r="S109" i="11" s="1"/>
  <c r="R45" i="11"/>
  <c r="S45" i="11" s="1"/>
  <c r="R236" i="11"/>
  <c r="S236" i="11" s="1"/>
  <c r="R172" i="11"/>
  <c r="S172" i="11" s="1"/>
  <c r="R92" i="11"/>
  <c r="S92" i="11" s="1"/>
  <c r="R28" i="11"/>
  <c r="S28" i="11" s="1"/>
  <c r="R235" i="11"/>
  <c r="S235" i="11" s="1"/>
  <c r="R171" i="11"/>
  <c r="S171" i="11" s="1"/>
  <c r="R107" i="11"/>
  <c r="S107" i="11" s="1"/>
  <c r="R59" i="11"/>
  <c r="S59" i="11" s="1"/>
  <c r="M249" i="11"/>
  <c r="M185" i="11"/>
  <c r="M105" i="11"/>
  <c r="M41" i="11"/>
  <c r="R179" i="11"/>
  <c r="S179" i="11" s="1"/>
  <c r="R83" i="11"/>
  <c r="S83" i="11" s="1"/>
  <c r="M184" i="11"/>
  <c r="M136" i="11"/>
  <c r="M104" i="11"/>
  <c r="M56" i="11"/>
  <c r="R216" i="11"/>
  <c r="S216" i="11" s="1"/>
  <c r="R72" i="11"/>
  <c r="S72" i="11" s="1"/>
  <c r="M245" i="11"/>
  <c r="M229" i="11"/>
  <c r="M213" i="11"/>
  <c r="M197" i="11"/>
  <c r="M181" i="11"/>
  <c r="M165" i="11"/>
  <c r="M149" i="11"/>
  <c r="M133" i="11"/>
  <c r="M117" i="11"/>
  <c r="M101" i="11"/>
  <c r="M53" i="11"/>
  <c r="M37" i="11"/>
  <c r="M5" i="11"/>
  <c r="M239" i="11"/>
  <c r="M223" i="11"/>
  <c r="M207" i="11"/>
  <c r="M159" i="11"/>
  <c r="M127" i="11"/>
  <c r="M111" i="11"/>
  <c r="M95" i="11"/>
  <c r="M79" i="11"/>
  <c r="M63" i="11"/>
  <c r="M47" i="11"/>
  <c r="M31" i="11"/>
  <c r="M15" i="11"/>
  <c r="R229" i="11"/>
  <c r="S229" i="11" s="1"/>
  <c r="R165" i="11"/>
  <c r="S165" i="11" s="1"/>
  <c r="R117" i="11"/>
  <c r="S117" i="11" s="1"/>
  <c r="R101" i="11"/>
  <c r="S101" i="11" s="1"/>
  <c r="R69" i="11"/>
  <c r="S69" i="11" s="1"/>
  <c r="R53" i="11"/>
  <c r="S53" i="11" s="1"/>
  <c r="R5" i="11"/>
  <c r="S5" i="11" s="1"/>
  <c r="R3" i="11"/>
  <c r="S3" i="11" s="1"/>
  <c r="R173" i="11"/>
  <c r="S173" i="11" s="1"/>
  <c r="R77" i="11"/>
  <c r="S77" i="11" s="1"/>
  <c r="R13" i="11"/>
  <c r="S13" i="11" s="1"/>
  <c r="R252" i="11"/>
  <c r="S252" i="11" s="1"/>
  <c r="R188" i="11"/>
  <c r="S188" i="11" s="1"/>
  <c r="R76" i="11"/>
  <c r="S76" i="11" s="1"/>
  <c r="R12" i="11"/>
  <c r="S12" i="11" s="1"/>
  <c r="R203" i="11"/>
  <c r="S203" i="11" s="1"/>
  <c r="R155" i="11"/>
  <c r="S155" i="11" s="1"/>
  <c r="R123" i="11"/>
  <c r="S123" i="11" s="1"/>
  <c r="R27" i="11"/>
  <c r="S27" i="11" s="1"/>
  <c r="M233" i="11"/>
  <c r="M169" i="11"/>
  <c r="M121" i="11"/>
  <c r="M9" i="11"/>
  <c r="R227" i="11"/>
  <c r="S227" i="11" s="1"/>
  <c r="R163" i="11"/>
  <c r="S163" i="11" s="1"/>
  <c r="R131" i="11"/>
  <c r="S131" i="11" s="1"/>
  <c r="R19" i="11"/>
  <c r="S19" i="11" s="1"/>
  <c r="M200" i="11"/>
  <c r="M120" i="11"/>
  <c r="M72" i="11"/>
  <c r="M24" i="11"/>
  <c r="R104" i="11"/>
  <c r="S104" i="11" s="1"/>
  <c r="R130" i="11"/>
  <c r="S130" i="11" s="1"/>
  <c r="M244" i="11"/>
  <c r="M228" i="11"/>
  <c r="M212" i="11"/>
  <c r="M196" i="11"/>
  <c r="M180" i="11"/>
  <c r="M164" i="11"/>
  <c r="M148" i="11"/>
  <c r="M132" i="11"/>
  <c r="M116" i="11"/>
  <c r="M100" i="11"/>
  <c r="M84" i="11"/>
  <c r="M68" i="11"/>
  <c r="M52" i="11"/>
  <c r="M36" i="11"/>
  <c r="M20" i="11"/>
  <c r="M4" i="11"/>
  <c r="M30" i="11"/>
  <c r="M14" i="11"/>
  <c r="R228" i="11"/>
  <c r="S228" i="11" s="1"/>
  <c r="R116" i="11"/>
  <c r="S116" i="11" s="1"/>
  <c r="R68" i="11"/>
  <c r="S68" i="11" s="1"/>
  <c r="M112" i="11"/>
  <c r="R244" i="11"/>
  <c r="S244" i="11" s="1"/>
  <c r="R196" i="11"/>
  <c r="S196" i="11" s="1"/>
  <c r="R164" i="11"/>
  <c r="S164" i="11" s="1"/>
  <c r="R132" i="11"/>
  <c r="S132" i="11" s="1"/>
  <c r="R100" i="11"/>
  <c r="S100" i="11" s="1"/>
  <c r="R52" i="11"/>
  <c r="S52" i="11" s="1"/>
  <c r="R20" i="11"/>
  <c r="S20" i="11" s="1"/>
  <c r="R4" i="11"/>
  <c r="S4" i="11" s="1"/>
  <c r="M238" i="11"/>
  <c r="M222" i="11"/>
  <c r="M206" i="11"/>
  <c r="M190" i="11"/>
  <c r="M174" i="11"/>
  <c r="M158" i="11"/>
  <c r="M142" i="11"/>
  <c r="M126" i="11"/>
  <c r="M110" i="11"/>
  <c r="M94" i="11"/>
  <c r="M78" i="11"/>
  <c r="M62" i="11"/>
  <c r="M46" i="11"/>
  <c r="M3" i="11"/>
  <c r="M205" i="11"/>
  <c r="M173" i="11"/>
  <c r="M141" i="11"/>
  <c r="M109" i="11"/>
  <c r="M93" i="11"/>
  <c r="M61" i="11"/>
  <c r="M13" i="11"/>
  <c r="M252" i="11"/>
  <c r="M172" i="11"/>
  <c r="M140" i="11"/>
  <c r="M108" i="11"/>
  <c r="M76" i="11"/>
  <c r="M44" i="11"/>
  <c r="M28" i="11"/>
  <c r="R209" i="11"/>
  <c r="S209" i="11" s="1"/>
  <c r="M251" i="11"/>
  <c r="M235" i="11"/>
  <c r="M219" i="11"/>
  <c r="M187" i="11"/>
  <c r="M171" i="11"/>
  <c r="M155" i="11"/>
  <c r="M139" i="11"/>
  <c r="M123" i="11"/>
  <c r="M107" i="11"/>
  <c r="M91" i="11"/>
  <c r="M59" i="11"/>
  <c r="M27" i="11"/>
  <c r="R240" i="11"/>
  <c r="S240" i="11" s="1"/>
  <c r="R224" i="11"/>
  <c r="S224" i="11" s="1"/>
  <c r="R208" i="11"/>
  <c r="S208" i="11" s="1"/>
  <c r="R192" i="11"/>
  <c r="S192" i="11" s="1"/>
  <c r="R176" i="11"/>
  <c r="S176" i="11" s="1"/>
  <c r="R160" i="11"/>
  <c r="S160" i="11" s="1"/>
  <c r="R144" i="11"/>
  <c r="S144" i="11" s="1"/>
  <c r="R128" i="11"/>
  <c r="S128" i="11" s="1"/>
  <c r="R112" i="11"/>
  <c r="S112" i="11" s="1"/>
  <c r="R96" i="11"/>
  <c r="S96" i="11" s="1"/>
  <c r="R80" i="11"/>
  <c r="S80" i="11" s="1"/>
  <c r="R64" i="11"/>
  <c r="S64" i="11" s="1"/>
  <c r="R48" i="11"/>
  <c r="S48" i="11" s="1"/>
  <c r="R32" i="11"/>
  <c r="S32" i="11" s="1"/>
  <c r="R16" i="11"/>
  <c r="S16" i="11" s="1"/>
  <c r="R197" i="11"/>
  <c r="S197" i="11" s="1"/>
  <c r="R21" i="11"/>
  <c r="S21" i="11" s="1"/>
  <c r="M237" i="11"/>
  <c r="M221" i="11"/>
  <c r="M189" i="11"/>
  <c r="M157" i="11"/>
  <c r="M125" i="11"/>
  <c r="M77" i="11"/>
  <c r="M45" i="11"/>
  <c r="M29" i="11"/>
  <c r="M236" i="11"/>
  <c r="M220" i="11"/>
  <c r="M188" i="11"/>
  <c r="M156" i="11"/>
  <c r="M124" i="11"/>
  <c r="M92" i="11"/>
  <c r="M60" i="11"/>
  <c r="M12" i="11"/>
  <c r="M198" i="11"/>
  <c r="M166" i="11"/>
  <c r="R129" i="11"/>
  <c r="S129" i="11" s="1"/>
  <c r="R17" i="11"/>
  <c r="S17" i="11" s="1"/>
  <c r="R239" i="11"/>
  <c r="S239" i="11" s="1"/>
  <c r="R223" i="11"/>
  <c r="S223" i="11" s="1"/>
  <c r="R207" i="11"/>
  <c r="S207" i="11" s="1"/>
  <c r="R191" i="11"/>
  <c r="S191" i="11" s="1"/>
  <c r="R175" i="11"/>
  <c r="S175" i="11" s="1"/>
  <c r="R159" i="11"/>
  <c r="S159" i="11" s="1"/>
  <c r="R143" i="11"/>
  <c r="S143" i="11" s="1"/>
  <c r="R127" i="11"/>
  <c r="S127" i="11" s="1"/>
  <c r="R111" i="11"/>
  <c r="S111" i="11" s="1"/>
  <c r="R95" i="11"/>
  <c r="S95" i="11" s="1"/>
  <c r="R79" i="11"/>
  <c r="S79" i="11" s="1"/>
  <c r="R63" i="11"/>
  <c r="S63" i="11" s="1"/>
  <c r="R47" i="11"/>
  <c r="S47" i="11" s="1"/>
  <c r="R31" i="11"/>
  <c r="S31" i="11" s="1"/>
  <c r="R15" i="11"/>
  <c r="S15" i="11" s="1"/>
  <c r="R249" i="11"/>
  <c r="S249" i="11" s="1"/>
  <c r="R233" i="11"/>
  <c r="S233" i="11" s="1"/>
  <c r="R217" i="11"/>
  <c r="S217" i="11" s="1"/>
  <c r="R201" i="11"/>
  <c r="S201" i="11" s="1"/>
  <c r="R185" i="11"/>
  <c r="S185" i="11" s="1"/>
  <c r="R169" i="11"/>
  <c r="S169" i="11" s="1"/>
  <c r="R153" i="11"/>
  <c r="S153" i="11" s="1"/>
  <c r="R137" i="11"/>
  <c r="S137" i="11" s="1"/>
  <c r="R121" i="11"/>
  <c r="S121" i="11" s="1"/>
  <c r="R105" i="11"/>
  <c r="S105" i="11" s="1"/>
  <c r="R89" i="11"/>
  <c r="S89" i="11" s="1"/>
  <c r="R73" i="11"/>
  <c r="S73" i="11" s="1"/>
  <c r="R57" i="11"/>
  <c r="S57" i="11" s="1"/>
  <c r="R41" i="11"/>
  <c r="S41" i="11" s="1"/>
  <c r="R25" i="11"/>
  <c r="S25" i="11" s="1"/>
  <c r="M231" i="11"/>
  <c r="M39" i="11"/>
  <c r="R106" i="11"/>
  <c r="S106" i="11" s="1"/>
  <c r="M243" i="11"/>
  <c r="M227" i="11"/>
  <c r="M211" i="11"/>
  <c r="M195" i="11"/>
  <c r="M179" i="11"/>
  <c r="M163" i="11"/>
  <c r="M147" i="11"/>
  <c r="M131" i="11"/>
  <c r="M115" i="11"/>
  <c r="M99" i="11"/>
  <c r="M83" i="11"/>
  <c r="M67" i="11"/>
  <c r="M51" i="11"/>
  <c r="M35" i="11"/>
  <c r="M19" i="11"/>
  <c r="M199" i="11"/>
  <c r="M103" i="11"/>
  <c r="M71" i="11"/>
  <c r="R250" i="11"/>
  <c r="S250" i="11" s="1"/>
  <c r="R170" i="11"/>
  <c r="S170" i="11" s="1"/>
  <c r="R58" i="11"/>
  <c r="S58" i="11" s="1"/>
  <c r="M69" i="11"/>
  <c r="M210" i="11"/>
  <c r="M162" i="11"/>
  <c r="M98" i="11"/>
  <c r="M82" i="11"/>
  <c r="M66" i="11"/>
  <c r="M50" i="11"/>
  <c r="M34" i="11"/>
  <c r="M18" i="11"/>
  <c r="M167" i="11"/>
  <c r="M7" i="11"/>
  <c r="R218" i="11"/>
  <c r="S218" i="11" s="1"/>
  <c r="R122" i="11"/>
  <c r="S122" i="11" s="1"/>
  <c r="R26" i="11"/>
  <c r="S26" i="11" s="1"/>
  <c r="M178" i="11"/>
  <c r="M183" i="11"/>
  <c r="M135" i="11"/>
  <c r="M87" i="11"/>
  <c r="R202" i="11"/>
  <c r="S202" i="11" s="1"/>
  <c r="R138" i="11"/>
  <c r="S138" i="11" s="1"/>
  <c r="R74" i="11"/>
  <c r="S74" i="11" s="1"/>
  <c r="M21" i="11"/>
  <c r="M242" i="11"/>
  <c r="M130" i="11"/>
  <c r="M247" i="11"/>
  <c r="M119" i="11"/>
  <c r="M23" i="11"/>
  <c r="R154" i="11"/>
  <c r="S154" i="11" s="1"/>
  <c r="R10" i="11"/>
  <c r="S10" i="11" s="1"/>
  <c r="M85" i="11"/>
  <c r="M194" i="11"/>
  <c r="M114" i="11"/>
  <c r="M215" i="11"/>
  <c r="M151" i="11"/>
  <c r="M55" i="11"/>
  <c r="R234" i="11"/>
  <c r="S234" i="11" s="1"/>
  <c r="R186" i="11"/>
  <c r="S186" i="11" s="1"/>
  <c r="R90" i="11"/>
  <c r="S90" i="11" s="1"/>
  <c r="R42" i="11"/>
  <c r="S42" i="11" s="1"/>
  <c r="M226" i="11"/>
  <c r="M146" i="11"/>
  <c r="W2" i="10"/>
  <c r="L113" i="10" s="1"/>
  <c r="O2" i="10"/>
  <c r="P40" i="10" s="1"/>
  <c r="Q40" i="10" s="1"/>
  <c r="J174" i="10"/>
  <c r="J48" i="10"/>
  <c r="T48" i="10" s="1"/>
  <c r="J220" i="10"/>
  <c r="J107" i="10"/>
  <c r="T107" i="10" s="1"/>
  <c r="J229" i="10"/>
  <c r="T229" i="10" s="1"/>
  <c r="J181" i="10"/>
  <c r="J165" i="10"/>
  <c r="T165" i="10" s="1"/>
  <c r="J117" i="10"/>
  <c r="T117" i="10" s="1"/>
  <c r="J101" i="10"/>
  <c r="T101" i="10" s="1"/>
  <c r="J53" i="10"/>
  <c r="T53" i="10" s="1"/>
  <c r="J37" i="10"/>
  <c r="J239" i="10"/>
  <c r="J223" i="10"/>
  <c r="J207" i="10"/>
  <c r="J191" i="10"/>
  <c r="J143" i="10"/>
  <c r="J127" i="10"/>
  <c r="J95" i="10"/>
  <c r="J15" i="10"/>
  <c r="J228" i="10"/>
  <c r="T228" i="10" s="1"/>
  <c r="J212" i="10"/>
  <c r="T212" i="10" s="1"/>
  <c r="J164" i="10"/>
  <c r="J148" i="10"/>
  <c r="J116" i="10"/>
  <c r="J100" i="10"/>
  <c r="T100" i="10" s="1"/>
  <c r="J68" i="10"/>
  <c r="J52" i="10"/>
  <c r="J36" i="10"/>
  <c r="J238" i="10"/>
  <c r="J222" i="10"/>
  <c r="J190" i="10"/>
  <c r="J142" i="10"/>
  <c r="J126" i="10"/>
  <c r="J110" i="10"/>
  <c r="J94" i="10"/>
  <c r="J46" i="10"/>
  <c r="J14" i="10"/>
  <c r="J99" i="10"/>
  <c r="T99" i="10" s="1"/>
  <c r="J83" i="10"/>
  <c r="T83" i="10" s="1"/>
  <c r="J51" i="10"/>
  <c r="T51" i="10" s="1"/>
  <c r="J221" i="10"/>
  <c r="J210" i="10"/>
  <c r="T210" i="10" s="1"/>
  <c r="J146" i="10"/>
  <c r="T146" i="10" s="1"/>
  <c r="J98" i="10"/>
  <c r="T98" i="10" s="1"/>
  <c r="J82" i="10"/>
  <c r="T82" i="10" s="1"/>
  <c r="J18" i="10"/>
  <c r="T18" i="10" s="1"/>
  <c r="J145" i="10"/>
  <c r="J97" i="10"/>
  <c r="J50" i="10"/>
  <c r="T50" i="10" s="1"/>
  <c r="J49" i="10"/>
  <c r="T49" i="10" s="1"/>
  <c r="J172" i="10"/>
  <c r="J124" i="10"/>
  <c r="J224" i="10"/>
  <c r="J208" i="10"/>
  <c r="J192" i="10"/>
  <c r="T192" i="10" s="1"/>
  <c r="J96" i="10"/>
  <c r="J32" i="10"/>
  <c r="J16" i="10"/>
  <c r="T16" i="10" s="1"/>
  <c r="J251" i="10"/>
  <c r="T251" i="10" s="1"/>
  <c r="J219" i="10"/>
  <c r="T219" i="10" s="1"/>
  <c r="J203" i="10"/>
  <c r="T203" i="10" s="1"/>
  <c r="J171" i="10"/>
  <c r="T171" i="10" s="1"/>
  <c r="J123" i="10"/>
  <c r="T123" i="10" s="1"/>
  <c r="J213" i="10"/>
  <c r="T213" i="10" s="1"/>
  <c r="J149" i="10"/>
  <c r="J176" i="10"/>
  <c r="T176" i="10" s="1"/>
  <c r="J144" i="10"/>
  <c r="J242" i="10"/>
  <c r="T242" i="10" s="1"/>
  <c r="J194" i="10"/>
  <c r="T194" i="10" s="1"/>
  <c r="J178" i="10"/>
  <c r="T178" i="10" s="1"/>
  <c r="J177" i="10"/>
  <c r="T177" i="10" s="1"/>
  <c r="J129" i="10"/>
  <c r="J240" i="10"/>
  <c r="J128" i="10"/>
  <c r="J175" i="10"/>
  <c r="T175" i="10" s="1"/>
  <c r="J47" i="10"/>
  <c r="J80" i="10"/>
  <c r="T80" i="10" s="1"/>
  <c r="J130" i="10"/>
  <c r="T130" i="10" s="1"/>
  <c r="J225" i="10"/>
  <c r="J193" i="10"/>
  <c r="T193" i="10" s="1"/>
  <c r="J245" i="10"/>
  <c r="T245" i="10" s="1"/>
  <c r="J197" i="10"/>
  <c r="T197" i="10" s="1"/>
  <c r="J69" i="10"/>
  <c r="J21" i="10"/>
  <c r="T21" i="10" s="1"/>
  <c r="J5" i="10"/>
  <c r="T5" i="10" s="1"/>
  <c r="J244" i="10"/>
  <c r="J196" i="10"/>
  <c r="T196" i="10" s="1"/>
  <c r="J20" i="10"/>
  <c r="J4" i="10"/>
  <c r="T4" i="10" s="1"/>
  <c r="J131" i="10"/>
  <c r="J3" i="10"/>
  <c r="T3" i="10" s="1"/>
  <c r="J79" i="10"/>
  <c r="T79" i="10" s="1"/>
  <c r="J31" i="10"/>
  <c r="J78" i="10"/>
  <c r="J109" i="10"/>
  <c r="J61" i="10"/>
  <c r="T61" i="10" s="1"/>
  <c r="J155" i="10"/>
  <c r="T155" i="10" s="1"/>
  <c r="J30" i="10"/>
  <c r="J2" i="10"/>
  <c r="J236" i="10"/>
  <c r="J204" i="10"/>
  <c r="J188" i="10"/>
  <c r="J156" i="10"/>
  <c r="T156" i="10" s="1"/>
  <c r="J140" i="10"/>
  <c r="J108" i="10"/>
  <c r="J92" i="10"/>
  <c r="J76" i="10"/>
  <c r="J60" i="10"/>
  <c r="T60" i="10" s="1"/>
  <c r="J44" i="10"/>
  <c r="J28" i="10"/>
  <c r="J12" i="10"/>
  <c r="J226" i="10"/>
  <c r="T226" i="10" s="1"/>
  <c r="J162" i="10"/>
  <c r="T162" i="10" s="1"/>
  <c r="J114" i="10"/>
  <c r="T114" i="10" s="1"/>
  <c r="J66" i="10"/>
  <c r="T66" i="10" s="1"/>
  <c r="J34" i="10"/>
  <c r="T34" i="10" s="1"/>
  <c r="J161" i="10"/>
  <c r="J113" i="10"/>
  <c r="J65" i="10"/>
  <c r="J160" i="10"/>
  <c r="T160" i="10" s="1"/>
  <c r="J112" i="10"/>
  <c r="J64" i="10"/>
  <c r="J133" i="10"/>
  <c r="T133" i="10" s="1"/>
  <c r="J85" i="10"/>
  <c r="T85" i="10" s="1"/>
  <c r="J159" i="10"/>
  <c r="T159" i="10" s="1"/>
  <c r="J111" i="10"/>
  <c r="J63" i="10"/>
  <c r="T63" i="10" s="1"/>
  <c r="J180" i="10"/>
  <c r="J132" i="10"/>
  <c r="T132" i="10" s="1"/>
  <c r="J84" i="10"/>
  <c r="T84" i="10" s="1"/>
  <c r="J206" i="10"/>
  <c r="J158" i="10"/>
  <c r="J62" i="10"/>
  <c r="J243" i="10"/>
  <c r="J227" i="10"/>
  <c r="J211" i="10"/>
  <c r="T211" i="10" s="1"/>
  <c r="J195" i="10"/>
  <c r="T195" i="10" s="1"/>
  <c r="J179" i="10"/>
  <c r="J163" i="10"/>
  <c r="J147" i="10"/>
  <c r="J115" i="10"/>
  <c r="T115" i="10" s="1"/>
  <c r="J67" i="10"/>
  <c r="T67" i="10" s="1"/>
  <c r="J35" i="10"/>
  <c r="T35" i="10" s="1"/>
  <c r="J19" i="10"/>
  <c r="T19" i="10" s="1"/>
  <c r="J173" i="10"/>
  <c r="J157" i="10"/>
  <c r="T157" i="10" s="1"/>
  <c r="J125" i="10"/>
  <c r="J77" i="10"/>
  <c r="J29" i="10"/>
  <c r="J241" i="10"/>
  <c r="J81" i="10"/>
  <c r="T81" i="10" s="1"/>
  <c r="J33" i="10"/>
  <c r="J205" i="10"/>
  <c r="J93" i="10"/>
  <c r="J45" i="10"/>
  <c r="J13" i="10"/>
  <c r="J209" i="10"/>
  <c r="J17" i="10"/>
  <c r="T17" i="10" s="1"/>
  <c r="J235" i="10"/>
  <c r="T235" i="10" s="1"/>
  <c r="J187" i="10"/>
  <c r="T187" i="10" s="1"/>
  <c r="J139" i="10"/>
  <c r="T139" i="10" s="1"/>
  <c r="J91" i="10"/>
  <c r="T91" i="10" s="1"/>
  <c r="J75" i="10"/>
  <c r="T75" i="10" s="1"/>
  <c r="J43" i="10"/>
  <c r="T43" i="10" s="1"/>
  <c r="J27" i="10"/>
  <c r="T27" i="10" s="1"/>
  <c r="J11" i="10"/>
  <c r="T11" i="10" s="1"/>
  <c r="J234" i="10"/>
  <c r="T234" i="10" s="1"/>
  <c r="J237" i="10"/>
  <c r="J189" i="10"/>
  <c r="J141" i="10"/>
  <c r="J59" i="10"/>
  <c r="T59" i="10" s="1"/>
  <c r="J250" i="10"/>
  <c r="T250" i="10" s="1"/>
  <c r="J218" i="10"/>
  <c r="T218" i="10" s="1"/>
  <c r="J90" i="10"/>
  <c r="T90" i="10" s="1"/>
  <c r="J202" i="10"/>
  <c r="T202" i="10" s="1"/>
  <c r="J186" i="10"/>
  <c r="T186" i="10" s="1"/>
  <c r="J170" i="10"/>
  <c r="T170" i="10" s="1"/>
  <c r="J154" i="10"/>
  <c r="T154" i="10" s="1"/>
  <c r="J138" i="10"/>
  <c r="T138" i="10" s="1"/>
  <c r="J122" i="10"/>
  <c r="T122" i="10" s="1"/>
  <c r="J106" i="10"/>
  <c r="T106" i="10" s="1"/>
  <c r="J74" i="10"/>
  <c r="T74" i="10" s="1"/>
  <c r="J58" i="10"/>
  <c r="T58" i="10" s="1"/>
  <c r="J42" i="10"/>
  <c r="T42" i="10" s="1"/>
  <c r="J26" i="10"/>
  <c r="T26" i="10" s="1"/>
  <c r="J10" i="10"/>
  <c r="T10" i="10" s="1"/>
  <c r="J185" i="10"/>
  <c r="T185" i="10" s="1"/>
  <c r="J40" i="10"/>
  <c r="T40" i="10" s="1"/>
  <c r="J247" i="10"/>
  <c r="T247" i="10" s="1"/>
  <c r="J231" i="10"/>
  <c r="T231" i="10" s="1"/>
  <c r="J199" i="10"/>
  <c r="T199" i="10" s="1"/>
  <c r="J183" i="10"/>
  <c r="T183" i="10" s="1"/>
  <c r="J167" i="10"/>
  <c r="T167" i="10" s="1"/>
  <c r="J151" i="10"/>
  <c r="J135" i="10"/>
  <c r="T135" i="10" s="1"/>
  <c r="J119" i="10"/>
  <c r="T119" i="10" s="1"/>
  <c r="J103" i="10"/>
  <c r="T103" i="10" s="1"/>
  <c r="J87" i="10"/>
  <c r="T87" i="10" s="1"/>
  <c r="J71" i="10"/>
  <c r="J55" i="10"/>
  <c r="T55" i="10" s="1"/>
  <c r="J39" i="10"/>
  <c r="J23" i="10"/>
  <c r="T23" i="10" s="1"/>
  <c r="J7" i="10"/>
  <c r="T7" i="10" s="1"/>
  <c r="J246" i="10"/>
  <c r="J230" i="10"/>
  <c r="J214" i="10"/>
  <c r="J198" i="10"/>
  <c r="J182" i="10"/>
  <c r="J166" i="10"/>
  <c r="J150" i="10"/>
  <c r="J134" i="10"/>
  <c r="J118" i="10"/>
  <c r="J102" i="10"/>
  <c r="J86" i="10"/>
  <c r="J70" i="10"/>
  <c r="J54" i="10"/>
  <c r="J38" i="10"/>
  <c r="J22" i="10"/>
  <c r="J6" i="10"/>
  <c r="J249" i="10"/>
  <c r="T249" i="10" s="1"/>
  <c r="J233" i="10"/>
  <c r="T233" i="10" s="1"/>
  <c r="J217" i="10"/>
  <c r="T217" i="10" s="1"/>
  <c r="J201" i="10"/>
  <c r="T201" i="10" s="1"/>
  <c r="J169" i="10"/>
  <c r="T169" i="10" s="1"/>
  <c r="J153" i="10"/>
  <c r="T153" i="10" s="1"/>
  <c r="J137" i="10"/>
  <c r="T137" i="10" s="1"/>
  <c r="J121" i="10"/>
  <c r="T121" i="10" s="1"/>
  <c r="J105" i="10"/>
  <c r="T105" i="10" s="1"/>
  <c r="J89" i="10"/>
  <c r="T89" i="10" s="1"/>
  <c r="J73" i="10"/>
  <c r="T73" i="10" s="1"/>
  <c r="J57" i="10"/>
  <c r="T57" i="10" s="1"/>
  <c r="J41" i="10"/>
  <c r="T41" i="10" s="1"/>
  <c r="J25" i="10"/>
  <c r="T25" i="10" s="1"/>
  <c r="J9" i="10"/>
  <c r="T9" i="10" s="1"/>
  <c r="J248" i="10"/>
  <c r="T248" i="10" s="1"/>
  <c r="J232" i="10"/>
  <c r="T232" i="10" s="1"/>
  <c r="J216" i="10"/>
  <c r="J200" i="10"/>
  <c r="T200" i="10" s="1"/>
  <c r="J184" i="10"/>
  <c r="J168" i="10"/>
  <c r="T168" i="10" s="1"/>
  <c r="J152" i="10"/>
  <c r="J136" i="10"/>
  <c r="T136" i="10" s="1"/>
  <c r="J120" i="10"/>
  <c r="T120" i="10" s="1"/>
  <c r="J104" i="10"/>
  <c r="T104" i="10" s="1"/>
  <c r="J88" i="10"/>
  <c r="T88" i="10" s="1"/>
  <c r="J72" i="10"/>
  <c r="T72" i="10" s="1"/>
  <c r="J56" i="10"/>
  <c r="T56" i="10" s="1"/>
  <c r="J24" i="10"/>
  <c r="T24" i="10" s="1"/>
  <c r="J8" i="10"/>
  <c r="T8" i="10" s="1"/>
  <c r="J215" i="10"/>
  <c r="L228" i="10" l="1"/>
  <c r="L196" i="10"/>
  <c r="L212" i="10"/>
  <c r="L166" i="10"/>
  <c r="M166" i="10" s="1"/>
  <c r="L97" i="10"/>
  <c r="M97" i="10" s="1"/>
  <c r="L244" i="10"/>
  <c r="L118" i="10"/>
  <c r="L134" i="10"/>
  <c r="P58" i="10"/>
  <c r="Q58" i="10" s="1"/>
  <c r="L225" i="10"/>
  <c r="M225" i="10" s="1"/>
  <c r="L150" i="10"/>
  <c r="L129" i="10"/>
  <c r="M129" i="10" s="1"/>
  <c r="L145" i="10"/>
  <c r="M145" i="10" s="1"/>
  <c r="L161" i="10"/>
  <c r="M161" i="10" s="1"/>
  <c r="L99" i="10"/>
  <c r="M99" i="10" s="1"/>
  <c r="L177" i="10"/>
  <c r="M177" i="10" s="1"/>
  <c r="L214" i="10"/>
  <c r="M214" i="10" s="1"/>
  <c r="L131" i="10"/>
  <c r="M131" i="10" s="1"/>
  <c r="L209" i="10"/>
  <c r="M209" i="10" s="1"/>
  <c r="L163" i="10"/>
  <c r="M163" i="10" s="1"/>
  <c r="L119" i="10"/>
  <c r="M119" i="10" s="1"/>
  <c r="L179" i="10"/>
  <c r="M179" i="10" s="1"/>
  <c r="L135" i="10"/>
  <c r="M135" i="10" s="1"/>
  <c r="L116" i="10"/>
  <c r="M116" i="10" s="1"/>
  <c r="L195" i="10"/>
  <c r="M195" i="10" s="1"/>
  <c r="L151" i="10"/>
  <c r="M151" i="10" s="1"/>
  <c r="L132" i="10"/>
  <c r="M132" i="10" s="1"/>
  <c r="L211" i="10"/>
  <c r="M211" i="10" s="1"/>
  <c r="L167" i="10"/>
  <c r="M167" i="10" s="1"/>
  <c r="L148" i="10"/>
  <c r="M148" i="10" s="1"/>
  <c r="L227" i="10"/>
  <c r="M227" i="10" s="1"/>
  <c r="L183" i="10"/>
  <c r="M183" i="10" s="1"/>
  <c r="K183" i="10" s="1"/>
  <c r="R183" i="10" s="1"/>
  <c r="S183" i="10" s="1"/>
  <c r="L164" i="10"/>
  <c r="M164" i="10" s="1"/>
  <c r="L86" i="10"/>
  <c r="M86" i="10" s="1"/>
  <c r="L199" i="10"/>
  <c r="M199" i="10" s="1"/>
  <c r="L180" i="10"/>
  <c r="M180" i="10" s="1"/>
  <c r="L102" i="10"/>
  <c r="M102" i="10" s="1"/>
  <c r="L215" i="10"/>
  <c r="M215" i="10" s="1"/>
  <c r="L182" i="10"/>
  <c r="M182" i="10" s="1"/>
  <c r="L198" i="10"/>
  <c r="M198" i="10" s="1"/>
  <c r="L115" i="10"/>
  <c r="M115" i="10" s="1"/>
  <c r="L193" i="10"/>
  <c r="M193" i="10" s="1"/>
  <c r="L87" i="10"/>
  <c r="M87" i="10" s="1"/>
  <c r="L147" i="10"/>
  <c r="M147" i="10" s="1"/>
  <c r="L103" i="10"/>
  <c r="M103" i="10" s="1"/>
  <c r="W3" i="10"/>
  <c r="P87" i="10"/>
  <c r="Q87" i="10" s="1"/>
  <c r="L5" i="10"/>
  <c r="M5" i="10" s="1"/>
  <c r="L37" i="10"/>
  <c r="M37" i="10" s="1"/>
  <c r="L53" i="10"/>
  <c r="M53" i="10" s="1"/>
  <c r="L69" i="10"/>
  <c r="M69" i="10" s="1"/>
  <c r="L85" i="10"/>
  <c r="M85" i="10" s="1"/>
  <c r="L101" i="10"/>
  <c r="M101" i="10" s="1"/>
  <c r="L117" i="10"/>
  <c r="M117" i="10" s="1"/>
  <c r="L133" i="10"/>
  <c r="M133" i="10" s="1"/>
  <c r="L149" i="10"/>
  <c r="M149" i="10" s="1"/>
  <c r="L165" i="10"/>
  <c r="M165" i="10" s="1"/>
  <c r="L181" i="10"/>
  <c r="M181" i="10" s="1"/>
  <c r="L213" i="10"/>
  <c r="M213" i="10" s="1"/>
  <c r="L229" i="10"/>
  <c r="M229" i="10" s="1"/>
  <c r="L245" i="10"/>
  <c r="M245" i="10" s="1"/>
  <c r="L24" i="10"/>
  <c r="M24" i="10" s="1"/>
  <c r="L9" i="10"/>
  <c r="M9" i="10" s="1"/>
  <c r="L105" i="10"/>
  <c r="M105" i="10" s="1"/>
  <c r="L153" i="10"/>
  <c r="M153" i="10" s="1"/>
  <c r="L185" i="10"/>
  <c r="M185" i="10" s="1"/>
  <c r="L217" i="10"/>
  <c r="M217" i="10" s="1"/>
  <c r="L26" i="10"/>
  <c r="M26" i="10" s="1"/>
  <c r="L170" i="10"/>
  <c r="M170" i="10" s="1"/>
  <c r="L27" i="10"/>
  <c r="M27" i="10" s="1"/>
  <c r="L75" i="10"/>
  <c r="M75" i="10" s="1"/>
  <c r="L139" i="10"/>
  <c r="M139" i="10" s="1"/>
  <c r="L235" i="10"/>
  <c r="M235" i="10" s="1"/>
  <c r="L28" i="10"/>
  <c r="M28" i="10" s="1"/>
  <c r="L29" i="10"/>
  <c r="M29" i="10" s="1"/>
  <c r="L125" i="10"/>
  <c r="M125" i="10" s="1"/>
  <c r="L189" i="10"/>
  <c r="M189" i="10" s="1"/>
  <c r="L205" i="10"/>
  <c r="M205" i="10" s="1"/>
  <c r="L46" i="10"/>
  <c r="M46" i="10" s="1"/>
  <c r="L62" i="10"/>
  <c r="M62" i="10" s="1"/>
  <c r="L110" i="10"/>
  <c r="M110" i="10" s="1"/>
  <c r="L158" i="10"/>
  <c r="M158" i="10" s="1"/>
  <c r="L206" i="10"/>
  <c r="M206" i="10" s="1"/>
  <c r="L31" i="10"/>
  <c r="M31" i="10" s="1"/>
  <c r="L79" i="10"/>
  <c r="M79" i="10" s="1"/>
  <c r="L21" i="10"/>
  <c r="M21" i="10" s="1"/>
  <c r="L197" i="10"/>
  <c r="M197" i="10" s="1"/>
  <c r="L40" i="10"/>
  <c r="M40" i="10" s="1"/>
  <c r="K40" i="10" s="1"/>
  <c r="R40" i="10" s="1"/>
  <c r="S40" i="10" s="1"/>
  <c r="L41" i="10"/>
  <c r="M41" i="10" s="1"/>
  <c r="L57" i="10"/>
  <c r="M57" i="10" s="1"/>
  <c r="L89" i="10"/>
  <c r="M89" i="10" s="1"/>
  <c r="L121" i="10"/>
  <c r="M121" i="10" s="1"/>
  <c r="L169" i="10"/>
  <c r="M169" i="10" s="1"/>
  <c r="L201" i="10"/>
  <c r="M201" i="10" s="1"/>
  <c r="L249" i="10"/>
  <c r="M249" i="10" s="1"/>
  <c r="L10" i="10"/>
  <c r="M10" i="10" s="1"/>
  <c r="L186" i="10"/>
  <c r="M186" i="10" s="1"/>
  <c r="L43" i="10"/>
  <c r="M43" i="10" s="1"/>
  <c r="L91" i="10"/>
  <c r="M91" i="10" s="1"/>
  <c r="L123" i="10"/>
  <c r="M123" i="10" s="1"/>
  <c r="L155" i="10"/>
  <c r="M155" i="10" s="1"/>
  <c r="L171" i="10"/>
  <c r="M171" i="10" s="1"/>
  <c r="L203" i="10"/>
  <c r="M203" i="10" s="1"/>
  <c r="L219" i="10"/>
  <c r="M219" i="10" s="1"/>
  <c r="L251" i="10"/>
  <c r="M251" i="10" s="1"/>
  <c r="L12" i="10"/>
  <c r="M12" i="10" s="1"/>
  <c r="L60" i="10"/>
  <c r="M60" i="10" s="1"/>
  <c r="L76" i="10"/>
  <c r="M76" i="10" s="1"/>
  <c r="L92" i="10"/>
  <c r="M92" i="10" s="1"/>
  <c r="L108" i="10"/>
  <c r="M108" i="10" s="1"/>
  <c r="L124" i="10"/>
  <c r="M124" i="10" s="1"/>
  <c r="L140" i="10"/>
  <c r="M140" i="10" s="1"/>
  <c r="L156" i="10"/>
  <c r="M156" i="10" s="1"/>
  <c r="L172" i="10"/>
  <c r="M172" i="10" s="1"/>
  <c r="L188" i="10"/>
  <c r="M188" i="10" s="1"/>
  <c r="L204" i="10"/>
  <c r="M204" i="10" s="1"/>
  <c r="L220" i="10"/>
  <c r="M220" i="10" s="1"/>
  <c r="L236" i="10"/>
  <c r="M236" i="10" s="1"/>
  <c r="L2" i="10"/>
  <c r="M2" i="10" s="1"/>
  <c r="L13" i="10"/>
  <c r="M13" i="10" s="1"/>
  <c r="L61" i="10"/>
  <c r="M61" i="10" s="1"/>
  <c r="L77" i="10"/>
  <c r="M77" i="10" s="1"/>
  <c r="L109" i="10"/>
  <c r="M109" i="10" s="1"/>
  <c r="L141" i="10"/>
  <c r="M141" i="10" s="1"/>
  <c r="L173" i="10"/>
  <c r="M173" i="10" s="1"/>
  <c r="K173" i="10" s="1"/>
  <c r="R173" i="10" s="1"/>
  <c r="S173" i="10" s="1"/>
  <c r="L221" i="10"/>
  <c r="M221" i="10" s="1"/>
  <c r="L14" i="10"/>
  <c r="M14" i="10" s="1"/>
  <c r="L94" i="10"/>
  <c r="M94" i="10" s="1"/>
  <c r="L142" i="10"/>
  <c r="M142" i="10" s="1"/>
  <c r="L190" i="10"/>
  <c r="M190" i="10" s="1"/>
  <c r="L238" i="10"/>
  <c r="M238" i="10" s="1"/>
  <c r="L15" i="10"/>
  <c r="M15" i="10" s="1"/>
  <c r="L95" i="10"/>
  <c r="M95" i="10" s="1"/>
  <c r="L8" i="10"/>
  <c r="M8" i="10" s="1"/>
  <c r="L56" i="10"/>
  <c r="M56" i="10" s="1"/>
  <c r="L72" i="10"/>
  <c r="M72" i="10" s="1"/>
  <c r="L88" i="10"/>
  <c r="M88" i="10" s="1"/>
  <c r="L104" i="10"/>
  <c r="M104" i="10" s="1"/>
  <c r="L120" i="10"/>
  <c r="M120" i="10" s="1"/>
  <c r="L136" i="10"/>
  <c r="M136" i="10" s="1"/>
  <c r="L152" i="10"/>
  <c r="M152" i="10" s="1"/>
  <c r="L168" i="10"/>
  <c r="M168" i="10" s="1"/>
  <c r="L184" i="10"/>
  <c r="M184" i="10" s="1"/>
  <c r="L200" i="10"/>
  <c r="M200" i="10" s="1"/>
  <c r="L216" i="10"/>
  <c r="M216" i="10" s="1"/>
  <c r="L232" i="10"/>
  <c r="M232" i="10" s="1"/>
  <c r="L248" i="10"/>
  <c r="M248" i="10" s="1"/>
  <c r="L25" i="10"/>
  <c r="M25" i="10" s="1"/>
  <c r="L73" i="10"/>
  <c r="M73" i="10" s="1"/>
  <c r="L137" i="10"/>
  <c r="M137" i="10" s="1"/>
  <c r="L233" i="10"/>
  <c r="M233" i="10" s="1"/>
  <c r="L42" i="10"/>
  <c r="M42" i="10" s="1"/>
  <c r="L58" i="10"/>
  <c r="M58" i="10" s="1"/>
  <c r="L74" i="10"/>
  <c r="M74" i="10" s="1"/>
  <c r="L90" i="10"/>
  <c r="M90" i="10" s="1"/>
  <c r="L106" i="10"/>
  <c r="M106" i="10" s="1"/>
  <c r="L122" i="10"/>
  <c r="M122" i="10" s="1"/>
  <c r="L138" i="10"/>
  <c r="M138" i="10" s="1"/>
  <c r="L154" i="10"/>
  <c r="M154" i="10" s="1"/>
  <c r="L202" i="10"/>
  <c r="M202" i="10" s="1"/>
  <c r="L218" i="10"/>
  <c r="M218" i="10" s="1"/>
  <c r="L234" i="10"/>
  <c r="M234" i="10" s="1"/>
  <c r="L250" i="10"/>
  <c r="M250" i="10" s="1"/>
  <c r="L11" i="10"/>
  <c r="M11" i="10" s="1"/>
  <c r="L59" i="10"/>
  <c r="M59" i="10" s="1"/>
  <c r="L107" i="10"/>
  <c r="M107" i="10" s="1"/>
  <c r="L187" i="10"/>
  <c r="M187" i="10" s="1"/>
  <c r="L44" i="10"/>
  <c r="M44" i="10" s="1"/>
  <c r="L45" i="10"/>
  <c r="M45" i="10" s="1"/>
  <c r="L93" i="10"/>
  <c r="M93" i="10" s="1"/>
  <c r="L157" i="10"/>
  <c r="M157" i="10" s="1"/>
  <c r="L237" i="10"/>
  <c r="M237" i="10" s="1"/>
  <c r="L30" i="10"/>
  <c r="M30" i="10" s="1"/>
  <c r="L78" i="10"/>
  <c r="M78" i="10" s="1"/>
  <c r="L126" i="10"/>
  <c r="M126" i="10" s="1"/>
  <c r="L174" i="10"/>
  <c r="M174" i="10" s="1"/>
  <c r="L222" i="10"/>
  <c r="M222" i="10" s="1"/>
  <c r="L47" i="10"/>
  <c r="M47" i="10" s="1"/>
  <c r="L63" i="10"/>
  <c r="M63" i="10" s="1"/>
  <c r="L111" i="10"/>
  <c r="M111" i="10" s="1"/>
  <c r="L127" i="10"/>
  <c r="M127" i="10" s="1"/>
  <c r="L143" i="10"/>
  <c r="M143" i="10" s="1"/>
  <c r="L159" i="10"/>
  <c r="M159" i="10" s="1"/>
  <c r="L175" i="10"/>
  <c r="M175" i="10" s="1"/>
  <c r="L191" i="10"/>
  <c r="M191" i="10" s="1"/>
  <c r="L207" i="10"/>
  <c r="M207" i="10" s="1"/>
  <c r="L16" i="10"/>
  <c r="M16" i="10" s="1"/>
  <c r="L112" i="10"/>
  <c r="M112" i="10" s="1"/>
  <c r="L144" i="10"/>
  <c r="M144" i="10" s="1"/>
  <c r="L226" i="10"/>
  <c r="M226" i="10" s="1"/>
  <c r="L239" i="10"/>
  <c r="M239" i="10" s="1"/>
  <c r="L240" i="10"/>
  <c r="M240" i="10" s="1"/>
  <c r="L82" i="10"/>
  <c r="M82" i="10" s="1"/>
  <c r="L192" i="10"/>
  <c r="M192" i="10" s="1"/>
  <c r="L18" i="10"/>
  <c r="M18" i="10" s="1"/>
  <c r="L64" i="10"/>
  <c r="M64" i="10" s="1"/>
  <c r="L66" i="10"/>
  <c r="M66" i="10" s="1"/>
  <c r="L80" i="10"/>
  <c r="M80" i="10" s="1"/>
  <c r="L242" i="10"/>
  <c r="M242" i="10" s="1"/>
  <c r="L96" i="10"/>
  <c r="M96" i="10" s="1"/>
  <c r="L32" i="10"/>
  <c r="M32" i="10" s="1"/>
  <c r="L208" i="10"/>
  <c r="M208" i="10" s="1"/>
  <c r="L128" i="10"/>
  <c r="M128" i="10" s="1"/>
  <c r="L48" i="10"/>
  <c r="M48" i="10" s="1"/>
  <c r="L130" i="10"/>
  <c r="M130" i="10" s="1"/>
  <c r="L223" i="10"/>
  <c r="M223" i="10" s="1"/>
  <c r="L50" i="10"/>
  <c r="M50" i="10" s="1"/>
  <c r="L224" i="10"/>
  <c r="M224" i="10" s="1"/>
  <c r="L146" i="10"/>
  <c r="M146" i="10" s="1"/>
  <c r="L160" i="10"/>
  <c r="M160" i="10" s="1"/>
  <c r="L162" i="10"/>
  <c r="M162" i="10" s="1"/>
  <c r="L176" i="10"/>
  <c r="M176" i="10" s="1"/>
  <c r="L230" i="10"/>
  <c r="M230" i="10" s="1"/>
  <c r="L241" i="10"/>
  <c r="M241" i="10" s="1"/>
  <c r="L3" i="10"/>
  <c r="M3" i="10" s="1"/>
  <c r="L246" i="10"/>
  <c r="M246" i="10" s="1"/>
  <c r="L247" i="10"/>
  <c r="M247" i="10" s="1"/>
  <c r="L20" i="10"/>
  <c r="M20" i="10" s="1"/>
  <c r="L19" i="10"/>
  <c r="M19" i="10" s="1"/>
  <c r="L6" i="10"/>
  <c r="M6" i="10" s="1"/>
  <c r="L7" i="10"/>
  <c r="M7" i="10" s="1"/>
  <c r="L98" i="10"/>
  <c r="M98" i="10" s="1"/>
  <c r="L36" i="10"/>
  <c r="M36" i="10" s="1"/>
  <c r="L35" i="10"/>
  <c r="M35" i="10" s="1"/>
  <c r="L22" i="10"/>
  <c r="M22" i="10" s="1"/>
  <c r="L23" i="10"/>
  <c r="M23" i="10" s="1"/>
  <c r="L114" i="10"/>
  <c r="M114" i="10" s="1"/>
  <c r="L52" i="10"/>
  <c r="M52" i="10" s="1"/>
  <c r="L38" i="10"/>
  <c r="M38" i="10" s="1"/>
  <c r="L49" i="10"/>
  <c r="M49" i="10" s="1"/>
  <c r="L84" i="10"/>
  <c r="M84" i="10" s="1"/>
  <c r="L67" i="10"/>
  <c r="M67" i="10" s="1"/>
  <c r="L54" i="10"/>
  <c r="M54" i="10" s="1"/>
  <c r="L55" i="10"/>
  <c r="M55" i="10" s="1"/>
  <c r="L65" i="10"/>
  <c r="M65" i="10" s="1"/>
  <c r="L194" i="10"/>
  <c r="M194" i="10" s="1"/>
  <c r="P215" i="10"/>
  <c r="Q215" i="10" s="1"/>
  <c r="L243" i="10"/>
  <c r="M243" i="10" s="1"/>
  <c r="L231" i="10"/>
  <c r="M231" i="10" s="1"/>
  <c r="L4" i="10"/>
  <c r="M4" i="10" s="1"/>
  <c r="L68" i="10"/>
  <c r="M68" i="10" s="1"/>
  <c r="L34" i="10"/>
  <c r="M34" i="10" s="1"/>
  <c r="L17" i="10"/>
  <c r="M17" i="10" s="1"/>
  <c r="L33" i="10"/>
  <c r="M33" i="10" s="1"/>
  <c r="L51" i="10"/>
  <c r="M51" i="10" s="1"/>
  <c r="L39" i="10"/>
  <c r="M39" i="10" s="1"/>
  <c r="L178" i="10"/>
  <c r="M178" i="10" s="1"/>
  <c r="L100" i="10"/>
  <c r="M100" i="10" s="1"/>
  <c r="L83" i="10"/>
  <c r="M83" i="10" s="1"/>
  <c r="L70" i="10"/>
  <c r="M70" i="10" s="1"/>
  <c r="L71" i="10"/>
  <c r="M71" i="10" s="1"/>
  <c r="L81" i="10"/>
  <c r="M81" i="10" s="1"/>
  <c r="L210" i="10"/>
  <c r="M210" i="10" s="1"/>
  <c r="M244" i="10"/>
  <c r="P106" i="10"/>
  <c r="Q106" i="10" s="1"/>
  <c r="P122" i="10"/>
  <c r="Q122" i="10" s="1"/>
  <c r="P149" i="10"/>
  <c r="Q149" i="10" s="1"/>
  <c r="P173" i="10"/>
  <c r="Q173" i="10" s="1"/>
  <c r="P133" i="10"/>
  <c r="Q133" i="10" s="1"/>
  <c r="P245" i="10"/>
  <c r="Q245" i="10" s="1"/>
  <c r="P187" i="10"/>
  <c r="Q187" i="10" s="1"/>
  <c r="P62" i="10"/>
  <c r="Q62" i="10" s="1"/>
  <c r="P94" i="10"/>
  <c r="Q94" i="10" s="1"/>
  <c r="P110" i="10"/>
  <c r="Q110" i="10" s="1"/>
  <c r="M118" i="10"/>
  <c r="P158" i="10"/>
  <c r="Q158" i="10" s="1"/>
  <c r="P174" i="10"/>
  <c r="Q174" i="10" s="1"/>
  <c r="P190" i="10"/>
  <c r="Q190" i="10" s="1"/>
  <c r="P53" i="10"/>
  <c r="Q53" i="10" s="1"/>
  <c r="P45" i="10"/>
  <c r="Q45" i="10" s="1"/>
  <c r="P85" i="10"/>
  <c r="Q85" i="10" s="1"/>
  <c r="P141" i="10"/>
  <c r="Q141" i="10" s="1"/>
  <c r="P74" i="10"/>
  <c r="Q74" i="10" s="1"/>
  <c r="P90" i="10"/>
  <c r="Q90" i="10" s="1"/>
  <c r="P185" i="10"/>
  <c r="Q185" i="10" s="1"/>
  <c r="T150" i="10"/>
  <c r="T95" i="10"/>
  <c r="T152" i="10"/>
  <c r="T166" i="10"/>
  <c r="T173" i="10"/>
  <c r="T126" i="10"/>
  <c r="T174" i="10"/>
  <c r="T182" i="10"/>
  <c r="T180" i="10"/>
  <c r="T142" i="10"/>
  <c r="T109" i="10"/>
  <c r="T190" i="10"/>
  <c r="T214" i="10"/>
  <c r="T111" i="10"/>
  <c r="T216" i="10"/>
  <c r="T230" i="10"/>
  <c r="T44" i="10"/>
  <c r="T223" i="10"/>
  <c r="T6" i="10"/>
  <c r="T45" i="10"/>
  <c r="T163" i="10"/>
  <c r="T76" i="10"/>
  <c r="T52" i="10"/>
  <c r="T37" i="10"/>
  <c r="P138" i="10"/>
  <c r="Q138" i="10" s="1"/>
  <c r="P206" i="10"/>
  <c r="Q206" i="10" s="1"/>
  <c r="P6" i="10"/>
  <c r="Q6" i="10" s="1"/>
  <c r="P189" i="10"/>
  <c r="Q189" i="10" s="1"/>
  <c r="T215" i="10"/>
  <c r="T22" i="10"/>
  <c r="T141" i="10"/>
  <c r="T93" i="10"/>
  <c r="T179" i="10"/>
  <c r="T64" i="10"/>
  <c r="T92" i="10"/>
  <c r="T131" i="10"/>
  <c r="T128" i="10"/>
  <c r="T68" i="10"/>
  <c r="P234" i="10"/>
  <c r="Q234" i="10" s="1"/>
  <c r="P222" i="10"/>
  <c r="Q222" i="10" s="1"/>
  <c r="P86" i="10"/>
  <c r="Q86" i="10" s="1"/>
  <c r="M134" i="10"/>
  <c r="T39" i="10"/>
  <c r="T189" i="10"/>
  <c r="T205" i="10"/>
  <c r="T112" i="10"/>
  <c r="T108" i="10"/>
  <c r="T240" i="10"/>
  <c r="T32" i="10"/>
  <c r="T221" i="10"/>
  <c r="P27" i="10"/>
  <c r="Q27" i="10" s="1"/>
  <c r="P238" i="10"/>
  <c r="Q238" i="10" s="1"/>
  <c r="P102" i="10"/>
  <c r="Q102" i="10" s="1"/>
  <c r="P12" i="10"/>
  <c r="Q12" i="10" s="1"/>
  <c r="T54" i="10"/>
  <c r="T237" i="10"/>
  <c r="T33" i="10"/>
  <c r="T140" i="10"/>
  <c r="T20" i="10"/>
  <c r="T129" i="10"/>
  <c r="T96" i="10"/>
  <c r="T116" i="10"/>
  <c r="P59" i="10"/>
  <c r="Q59" i="10" s="1"/>
  <c r="P134" i="10"/>
  <c r="Q134" i="10" s="1"/>
  <c r="P108" i="10"/>
  <c r="Q108" i="10" s="1"/>
  <c r="T70" i="10"/>
  <c r="T71" i="10"/>
  <c r="T227" i="10"/>
  <c r="T65" i="10"/>
  <c r="T148" i="10"/>
  <c r="P107" i="10"/>
  <c r="Q107" i="10" s="1"/>
  <c r="P150" i="10"/>
  <c r="Q150" i="10" s="1"/>
  <c r="P140" i="10"/>
  <c r="Q140" i="10" s="1"/>
  <c r="T86" i="10"/>
  <c r="T241" i="10"/>
  <c r="T243" i="10"/>
  <c r="T113" i="10"/>
  <c r="T188" i="10"/>
  <c r="T244" i="10"/>
  <c r="T208" i="10"/>
  <c r="T164" i="10"/>
  <c r="T181" i="10"/>
  <c r="P123" i="10"/>
  <c r="Q123" i="10" s="1"/>
  <c r="P182" i="10"/>
  <c r="Q182" i="10" s="1"/>
  <c r="P156" i="10"/>
  <c r="Q156" i="10" s="1"/>
  <c r="T151" i="10"/>
  <c r="T30" i="10"/>
  <c r="T110" i="10"/>
  <c r="T149" i="10"/>
  <c r="T127" i="10"/>
  <c r="T97" i="10"/>
  <c r="T143" i="10"/>
  <c r="T184" i="10"/>
  <c r="T198" i="10"/>
  <c r="T12" i="10"/>
  <c r="T225" i="10"/>
  <c r="T145" i="10"/>
  <c r="T191" i="10"/>
  <c r="T28" i="10"/>
  <c r="T78" i="10"/>
  <c r="T222" i="10"/>
  <c r="T207" i="10"/>
  <c r="T209" i="10"/>
  <c r="T31" i="10"/>
  <c r="T238" i="10"/>
  <c r="T246" i="10"/>
  <c r="T13" i="10"/>
  <c r="T147" i="10"/>
  <c r="T47" i="10"/>
  <c r="T36" i="10"/>
  <c r="T239" i="10"/>
  <c r="T38" i="10"/>
  <c r="T102" i="10"/>
  <c r="T29" i="10"/>
  <c r="T62" i="10"/>
  <c r="T161" i="10"/>
  <c r="T204" i="10"/>
  <c r="T224" i="10"/>
  <c r="T14" i="10"/>
  <c r="P139" i="10"/>
  <c r="Q139" i="10" s="1"/>
  <c r="M113" i="10"/>
  <c r="P198" i="10"/>
  <c r="Q198" i="10" s="1"/>
  <c r="P25" i="10"/>
  <c r="Q25" i="10" s="1"/>
  <c r="P172" i="10"/>
  <c r="Q172" i="10" s="1"/>
  <c r="T118" i="10"/>
  <c r="T77" i="10"/>
  <c r="T158" i="10"/>
  <c r="T236" i="10"/>
  <c r="T124" i="10"/>
  <c r="T46" i="10"/>
  <c r="P155" i="10"/>
  <c r="Q155" i="10" s="1"/>
  <c r="P21" i="10"/>
  <c r="Q21" i="10" s="1"/>
  <c r="P233" i="10"/>
  <c r="Q233" i="10" s="1"/>
  <c r="P188" i="10"/>
  <c r="Q188" i="10" s="1"/>
  <c r="P88" i="10"/>
  <c r="Q88" i="10" s="1"/>
  <c r="M212" i="10"/>
  <c r="T134" i="10"/>
  <c r="T125" i="10"/>
  <c r="T206" i="10"/>
  <c r="T2" i="10"/>
  <c r="T69" i="10"/>
  <c r="T144" i="10"/>
  <c r="T172" i="10"/>
  <c r="T94" i="10"/>
  <c r="T15" i="10"/>
  <c r="T220" i="10"/>
  <c r="P171" i="10"/>
  <c r="Q171" i="10" s="1"/>
  <c r="P37" i="10"/>
  <c r="Q37" i="10" s="1"/>
  <c r="P55" i="10"/>
  <c r="Q55" i="10" s="1"/>
  <c r="P204" i="10"/>
  <c r="Q204" i="10" s="1"/>
  <c r="M150" i="10"/>
  <c r="P136" i="10"/>
  <c r="Q136" i="10" s="1"/>
  <c r="P10" i="10"/>
  <c r="Q10" i="10" s="1"/>
  <c r="P75" i="10"/>
  <c r="Q75" i="10" s="1"/>
  <c r="P126" i="10"/>
  <c r="Q126" i="10" s="1"/>
  <c r="P121" i="10"/>
  <c r="Q121" i="10" s="1"/>
  <c r="P22" i="10"/>
  <c r="Q22" i="10" s="1"/>
  <c r="P119" i="10"/>
  <c r="Q119" i="10" s="1"/>
  <c r="P73" i="10"/>
  <c r="Q73" i="10" s="1"/>
  <c r="P44" i="10"/>
  <c r="Q44" i="10" s="1"/>
  <c r="P61" i="10"/>
  <c r="Q61" i="10" s="1"/>
  <c r="P26" i="10"/>
  <c r="Q26" i="10" s="1"/>
  <c r="P91" i="10"/>
  <c r="Q91" i="10" s="1"/>
  <c r="P142" i="10"/>
  <c r="Q142" i="10" s="1"/>
  <c r="P5" i="10"/>
  <c r="Q5" i="10" s="1"/>
  <c r="P54" i="10"/>
  <c r="Q54" i="10" s="1"/>
  <c r="P151" i="10"/>
  <c r="Q151" i="10" s="1"/>
  <c r="P217" i="10"/>
  <c r="Q217" i="10" s="1"/>
  <c r="P60" i="10"/>
  <c r="Q60" i="10" s="1"/>
  <c r="P125" i="10"/>
  <c r="Q125" i="10" s="1"/>
  <c r="P56" i="10"/>
  <c r="Q56" i="10" s="1"/>
  <c r="P154" i="10"/>
  <c r="Q154" i="10" s="1"/>
  <c r="P9" i="10"/>
  <c r="Q9" i="10" s="1"/>
  <c r="P181" i="10"/>
  <c r="Q181" i="10" s="1"/>
  <c r="P220" i="10"/>
  <c r="Q220" i="10" s="1"/>
  <c r="P76" i="10"/>
  <c r="Q76" i="10" s="1"/>
  <c r="P203" i="10"/>
  <c r="Q203" i="10" s="1"/>
  <c r="P230" i="10"/>
  <c r="Q230" i="10" s="1"/>
  <c r="P170" i="10"/>
  <c r="Q170" i="10" s="1"/>
  <c r="P219" i="10"/>
  <c r="Q219" i="10" s="1"/>
  <c r="P89" i="10"/>
  <c r="Q89" i="10" s="1"/>
  <c r="P197" i="10"/>
  <c r="Q197" i="10" s="1"/>
  <c r="P246" i="10"/>
  <c r="Q246" i="10" s="1"/>
  <c r="P29" i="10"/>
  <c r="Q29" i="10" s="1"/>
  <c r="P186" i="10"/>
  <c r="Q186" i="10" s="1"/>
  <c r="P251" i="10"/>
  <c r="Q251" i="10" s="1"/>
  <c r="P201" i="10"/>
  <c r="Q201" i="10" s="1"/>
  <c r="P213" i="10"/>
  <c r="Q213" i="10" s="1"/>
  <c r="P41" i="10"/>
  <c r="Q41" i="10" s="1"/>
  <c r="P82" i="10"/>
  <c r="Q82" i="10" s="1"/>
  <c r="P202" i="10"/>
  <c r="Q202" i="10" s="1"/>
  <c r="P14" i="10"/>
  <c r="Q14" i="10" s="1"/>
  <c r="P249" i="10"/>
  <c r="Q249" i="10" s="1"/>
  <c r="P229" i="10"/>
  <c r="Q229" i="10" s="1"/>
  <c r="P105" i="10"/>
  <c r="Q105" i="10" s="1"/>
  <c r="P210" i="10"/>
  <c r="Q210" i="10" s="1"/>
  <c r="M228" i="10"/>
  <c r="P250" i="10"/>
  <c r="Q250" i="10" s="1"/>
  <c r="P78" i="10"/>
  <c r="Q78" i="10" s="1"/>
  <c r="P23" i="10"/>
  <c r="Q23" i="10" s="1"/>
  <c r="P218" i="10"/>
  <c r="Q218" i="10" s="1"/>
  <c r="P235" i="10"/>
  <c r="Q235" i="10" s="1"/>
  <c r="P18" i="10"/>
  <c r="Q18" i="10" s="1"/>
  <c r="P117" i="10"/>
  <c r="Q117" i="10" s="1"/>
  <c r="P118" i="10"/>
  <c r="Q118" i="10" s="1"/>
  <c r="P183" i="10"/>
  <c r="Q183" i="10" s="1"/>
  <c r="P137" i="10"/>
  <c r="Q137" i="10" s="1"/>
  <c r="P28" i="10"/>
  <c r="Q28" i="10" s="1"/>
  <c r="P11" i="10"/>
  <c r="Q11" i="10" s="1"/>
  <c r="P30" i="10"/>
  <c r="Q30" i="10" s="1"/>
  <c r="P153" i="10"/>
  <c r="Q153" i="10" s="1"/>
  <c r="P165" i="10"/>
  <c r="Q165" i="10" s="1"/>
  <c r="P166" i="10"/>
  <c r="Q166" i="10" s="1"/>
  <c r="P92" i="10"/>
  <c r="Q92" i="10" s="1"/>
  <c r="P77" i="10"/>
  <c r="Q77" i="10" s="1"/>
  <c r="P214" i="10"/>
  <c r="Q214" i="10" s="1"/>
  <c r="P124" i="10"/>
  <c r="Q124" i="10" s="1"/>
  <c r="P93" i="10"/>
  <c r="Q93" i="10" s="1"/>
  <c r="P157" i="10"/>
  <c r="Q157" i="10" s="1"/>
  <c r="P69" i="10"/>
  <c r="Q69" i="10" s="1"/>
  <c r="P38" i="10"/>
  <c r="Q38" i="10" s="1"/>
  <c r="P169" i="10"/>
  <c r="Q169" i="10" s="1"/>
  <c r="P236" i="10"/>
  <c r="Q236" i="10" s="1"/>
  <c r="P205" i="10"/>
  <c r="Q205" i="10" s="1"/>
  <c r="P168" i="10"/>
  <c r="Q168" i="10" s="1"/>
  <c r="P15" i="10"/>
  <c r="Q15" i="10" s="1"/>
  <c r="P31" i="10"/>
  <c r="Q31" i="10" s="1"/>
  <c r="P47" i="10"/>
  <c r="Q47" i="10" s="1"/>
  <c r="P63" i="10"/>
  <c r="Q63" i="10" s="1"/>
  <c r="P79" i="10"/>
  <c r="Q79" i="10" s="1"/>
  <c r="P95" i="10"/>
  <c r="Q95" i="10" s="1"/>
  <c r="P111" i="10"/>
  <c r="Q111" i="10" s="1"/>
  <c r="P127" i="10"/>
  <c r="Q127" i="10" s="1"/>
  <c r="P143" i="10"/>
  <c r="Q143" i="10" s="1"/>
  <c r="P159" i="10"/>
  <c r="Q159" i="10" s="1"/>
  <c r="P175" i="10"/>
  <c r="Q175" i="10" s="1"/>
  <c r="P191" i="10"/>
  <c r="Q191" i="10" s="1"/>
  <c r="P207" i="10"/>
  <c r="Q207" i="10" s="1"/>
  <c r="P223" i="10"/>
  <c r="Q223" i="10" s="1"/>
  <c r="P239" i="10"/>
  <c r="Q239" i="10" s="1"/>
  <c r="P16" i="10"/>
  <c r="Q16" i="10" s="1"/>
  <c r="P48" i="10"/>
  <c r="Q48" i="10" s="1"/>
  <c r="P80" i="10"/>
  <c r="Q80" i="10" s="1"/>
  <c r="P112" i="10"/>
  <c r="Q112" i="10" s="1"/>
  <c r="P144" i="10"/>
  <c r="Q144" i="10" s="1"/>
  <c r="P176" i="10"/>
  <c r="Q176" i="10" s="1"/>
  <c r="P208" i="10"/>
  <c r="Q208" i="10" s="1"/>
  <c r="P240" i="10"/>
  <c r="Q240" i="10" s="1"/>
  <c r="P17" i="10"/>
  <c r="Q17" i="10" s="1"/>
  <c r="P49" i="10"/>
  <c r="Q49" i="10" s="1"/>
  <c r="P81" i="10"/>
  <c r="Q81" i="10" s="1"/>
  <c r="P113" i="10"/>
  <c r="Q113" i="10" s="1"/>
  <c r="P145" i="10"/>
  <c r="Q145" i="10" s="1"/>
  <c r="P177" i="10"/>
  <c r="Q177" i="10" s="1"/>
  <c r="P209" i="10"/>
  <c r="Q209" i="10" s="1"/>
  <c r="P241" i="10"/>
  <c r="Q241" i="10" s="1"/>
  <c r="P20" i="10"/>
  <c r="Q20" i="10" s="1"/>
  <c r="P52" i="10"/>
  <c r="Q52" i="10" s="1"/>
  <c r="P84" i="10"/>
  <c r="Q84" i="10" s="1"/>
  <c r="P116" i="10"/>
  <c r="Q116" i="10" s="1"/>
  <c r="P148" i="10"/>
  <c r="Q148" i="10" s="1"/>
  <c r="P180" i="10"/>
  <c r="Q180" i="10" s="1"/>
  <c r="P212" i="10"/>
  <c r="Q212" i="10" s="1"/>
  <c r="P244" i="10"/>
  <c r="Q244" i="10" s="1"/>
  <c r="P36" i="10"/>
  <c r="Q36" i="10" s="1"/>
  <c r="P128" i="10"/>
  <c r="Q128" i="10" s="1"/>
  <c r="P164" i="10"/>
  <c r="Q164" i="10" s="1"/>
  <c r="P39" i="10"/>
  <c r="Q39" i="10" s="1"/>
  <c r="P83" i="10"/>
  <c r="Q83" i="10" s="1"/>
  <c r="P129" i="10"/>
  <c r="Q129" i="10" s="1"/>
  <c r="P167" i="10"/>
  <c r="Q167" i="10" s="1"/>
  <c r="P211" i="10"/>
  <c r="Q211" i="10" s="1"/>
  <c r="P130" i="10"/>
  <c r="Q130" i="10" s="1"/>
  <c r="P131" i="10"/>
  <c r="Q131" i="10" s="1"/>
  <c r="P3" i="10"/>
  <c r="Q3" i="10" s="1"/>
  <c r="P50" i="10"/>
  <c r="Q50" i="10" s="1"/>
  <c r="P96" i="10"/>
  <c r="Q96" i="10" s="1"/>
  <c r="P132" i="10"/>
  <c r="Q132" i="10" s="1"/>
  <c r="P178" i="10"/>
  <c r="Q178" i="10" s="1"/>
  <c r="P224" i="10"/>
  <c r="Q224" i="10" s="1"/>
  <c r="P4" i="10"/>
  <c r="Q4" i="10" s="1"/>
  <c r="P51" i="10"/>
  <c r="Q51" i="10" s="1"/>
  <c r="P97" i="10"/>
  <c r="Q97" i="10" s="1"/>
  <c r="P179" i="10"/>
  <c r="Q179" i="10" s="1"/>
  <c r="P225" i="10"/>
  <c r="Q225" i="10" s="1"/>
  <c r="P7" i="10"/>
  <c r="Q7" i="10" s="1"/>
  <c r="P98" i="10"/>
  <c r="Q98" i="10" s="1"/>
  <c r="P226" i="10"/>
  <c r="Q226" i="10" s="1"/>
  <c r="P8" i="10"/>
  <c r="Q8" i="10" s="1"/>
  <c r="P99" i="10"/>
  <c r="Q99" i="10" s="1"/>
  <c r="P227" i="10"/>
  <c r="Q227" i="10" s="1"/>
  <c r="P64" i="10"/>
  <c r="Q64" i="10" s="1"/>
  <c r="P100" i="10"/>
  <c r="Q100" i="10" s="1"/>
  <c r="P32" i="10"/>
  <c r="Q32" i="10" s="1"/>
  <c r="P68" i="10"/>
  <c r="Q68" i="10" s="1"/>
  <c r="P114" i="10"/>
  <c r="Q114" i="10" s="1"/>
  <c r="P160" i="10"/>
  <c r="Q160" i="10" s="1"/>
  <c r="P196" i="10"/>
  <c r="Q196" i="10" s="1"/>
  <c r="P242" i="10"/>
  <c r="Q242" i="10" s="1"/>
  <c r="P33" i="10"/>
  <c r="Q33" i="10" s="1"/>
  <c r="P71" i="10"/>
  <c r="Q71" i="10" s="1"/>
  <c r="P115" i="10"/>
  <c r="Q115" i="10" s="1"/>
  <c r="P161" i="10"/>
  <c r="Q161" i="10" s="1"/>
  <c r="P199" i="10"/>
  <c r="Q199" i="10" s="1"/>
  <c r="P243" i="10"/>
  <c r="Q243" i="10" s="1"/>
  <c r="P72" i="10"/>
  <c r="Q72" i="10" s="1"/>
  <c r="P120" i="10"/>
  <c r="Q120" i="10" s="1"/>
  <c r="P200" i="10"/>
  <c r="Q200" i="10" s="1"/>
  <c r="P35" i="10"/>
  <c r="Q35" i="10" s="1"/>
  <c r="P34" i="10"/>
  <c r="Q34" i="10" s="1"/>
  <c r="P162" i="10"/>
  <c r="Q162" i="10" s="1"/>
  <c r="P247" i="10"/>
  <c r="Q247" i="10" s="1"/>
  <c r="P163" i="10"/>
  <c r="Q163" i="10" s="1"/>
  <c r="P248" i="10"/>
  <c r="Q248" i="10" s="1"/>
  <c r="P193" i="10"/>
  <c r="Q193" i="10" s="1"/>
  <c r="P194" i="10"/>
  <c r="Q194" i="10" s="1"/>
  <c r="P19" i="10"/>
  <c r="Q19" i="10" s="1"/>
  <c r="P192" i="10"/>
  <c r="Q192" i="10" s="1"/>
  <c r="P24" i="10"/>
  <c r="Q24" i="10" s="1"/>
  <c r="P228" i="10"/>
  <c r="Q228" i="10" s="1"/>
  <c r="P65" i="10"/>
  <c r="Q65" i="10" s="1"/>
  <c r="P232" i="10"/>
  <c r="Q232" i="10" s="1"/>
  <c r="P66" i="10"/>
  <c r="Q66" i="10" s="1"/>
  <c r="P237" i="10"/>
  <c r="Q237" i="10" s="1"/>
  <c r="P231" i="10"/>
  <c r="Q231" i="10" s="1"/>
  <c r="P146" i="10"/>
  <c r="Q146" i="10" s="1"/>
  <c r="P152" i="10"/>
  <c r="Q152" i="10" s="1"/>
  <c r="P147" i="10"/>
  <c r="Q147" i="10" s="1"/>
  <c r="P195" i="10"/>
  <c r="Q195" i="10" s="1"/>
  <c r="P67" i="10"/>
  <c r="Q67" i="10" s="1"/>
  <c r="P103" i="10"/>
  <c r="Q103" i="10" s="1"/>
  <c r="P104" i="10"/>
  <c r="Q104" i="10" s="1"/>
  <c r="P221" i="10"/>
  <c r="Q221" i="10" s="1"/>
  <c r="P184" i="10"/>
  <c r="Q184" i="10" s="1"/>
  <c r="P13" i="10"/>
  <c r="Q13" i="10" s="1"/>
  <c r="P42" i="10"/>
  <c r="Q42" i="10" s="1"/>
  <c r="P43" i="10"/>
  <c r="Q43" i="10" s="1"/>
  <c r="P46" i="10"/>
  <c r="Q46" i="10" s="1"/>
  <c r="P57" i="10"/>
  <c r="Q57" i="10" s="1"/>
  <c r="P101" i="10"/>
  <c r="Q101" i="10" s="1"/>
  <c r="P70" i="10"/>
  <c r="Q70" i="10" s="1"/>
  <c r="P2" i="10"/>
  <c r="Q2" i="10" s="1"/>
  <c r="M196" i="10"/>
  <c r="P135" i="10"/>
  <c r="Q135" i="10" s="1"/>
  <c r="P216" i="10"/>
  <c r="Q216" i="10" s="1"/>
  <c r="P109" i="10"/>
  <c r="Q109" i="10" s="1"/>
  <c r="K58" i="10" l="1"/>
  <c r="R58" i="10" s="1"/>
  <c r="S58" i="10" s="1"/>
  <c r="K119" i="10"/>
  <c r="R119" i="10" s="1"/>
  <c r="S119" i="10" s="1"/>
  <c r="K66" i="10"/>
  <c r="R66" i="10" s="1"/>
  <c r="S66" i="10" s="1"/>
  <c r="K52" i="10"/>
  <c r="R52" i="10" s="1"/>
  <c r="S52" i="10" s="1"/>
  <c r="K87" i="10"/>
  <c r="R87" i="10" s="1"/>
  <c r="S87" i="10" s="1"/>
  <c r="K9" i="10"/>
  <c r="R9" i="10" s="1"/>
  <c r="S9" i="10" s="1"/>
  <c r="K201" i="10"/>
  <c r="R201" i="10" s="1"/>
  <c r="S201" i="10" s="1"/>
  <c r="K166" i="10"/>
  <c r="R166" i="10" s="1"/>
  <c r="S166" i="10" s="1"/>
  <c r="K50" i="10"/>
  <c r="R50" i="10" s="1"/>
  <c r="S50" i="10" s="1"/>
  <c r="K98" i="10"/>
  <c r="R98" i="10" s="1"/>
  <c r="S98" i="10" s="1"/>
  <c r="K129" i="10"/>
  <c r="R129" i="10" s="1"/>
  <c r="S129" i="10" s="1"/>
  <c r="K90" i="10"/>
  <c r="R90" i="10" s="1"/>
  <c r="S90" i="10" s="1"/>
  <c r="K94" i="10"/>
  <c r="R94" i="10" s="1"/>
  <c r="S94" i="10" s="1"/>
  <c r="K187" i="10"/>
  <c r="R187" i="10" s="1"/>
  <c r="S187" i="10" s="1"/>
  <c r="K149" i="10"/>
  <c r="R149" i="10" s="1"/>
  <c r="S149" i="10" s="1"/>
  <c r="K151" i="10"/>
  <c r="R151" i="10" s="1"/>
  <c r="S151" i="10" s="1"/>
  <c r="K135" i="10"/>
  <c r="R135" i="10" s="1"/>
  <c r="S135" i="10" s="1"/>
  <c r="K115" i="10"/>
  <c r="R115" i="10" s="1"/>
  <c r="S115" i="10" s="1"/>
  <c r="K229" i="10"/>
  <c r="R229" i="10" s="1"/>
  <c r="S229" i="10" s="1"/>
  <c r="K53" i="10"/>
  <c r="R53" i="10" s="1"/>
  <c r="S53" i="10" s="1"/>
  <c r="K179" i="10"/>
  <c r="R179" i="10" s="1"/>
  <c r="S179" i="10" s="1"/>
  <c r="K18" i="10"/>
  <c r="R18" i="10" s="1"/>
  <c r="S18" i="10" s="1"/>
  <c r="K195" i="10"/>
  <c r="R195" i="10" s="1"/>
  <c r="S195" i="10" s="1"/>
  <c r="K84" i="10"/>
  <c r="R84" i="10" s="1"/>
  <c r="S84" i="10" s="1"/>
  <c r="K26" i="10"/>
  <c r="R26" i="10" s="1"/>
  <c r="S26" i="10" s="1"/>
  <c r="K88" i="10"/>
  <c r="R88" i="10" s="1"/>
  <c r="S88" i="10" s="1"/>
  <c r="K65" i="10"/>
  <c r="R65" i="10" s="1"/>
  <c r="S65" i="10" s="1"/>
  <c r="K20" i="10"/>
  <c r="R20" i="10" s="1"/>
  <c r="S20" i="10" s="1"/>
  <c r="K27" i="10"/>
  <c r="R27" i="10" s="1"/>
  <c r="S27" i="10" s="1"/>
  <c r="K153" i="10"/>
  <c r="R153" i="10" s="1"/>
  <c r="S153" i="10" s="1"/>
  <c r="K77" i="10"/>
  <c r="R77" i="10" s="1"/>
  <c r="S77" i="10" s="1"/>
  <c r="K204" i="10"/>
  <c r="R204" i="10" s="1"/>
  <c r="S204" i="10" s="1"/>
  <c r="K16" i="10"/>
  <c r="R16" i="10" s="1"/>
  <c r="S16" i="10" s="1"/>
  <c r="K249" i="10"/>
  <c r="R249" i="10" s="1"/>
  <c r="S249" i="10" s="1"/>
  <c r="K233" i="10"/>
  <c r="R233" i="10" s="1"/>
  <c r="S233" i="10" s="1"/>
  <c r="K215" i="10"/>
  <c r="R215" i="10" s="1"/>
  <c r="S215" i="10" s="1"/>
  <c r="K32" i="10"/>
  <c r="R32" i="10" s="1"/>
  <c r="S32" i="10" s="1"/>
  <c r="K37" i="10"/>
  <c r="R37" i="10" s="1"/>
  <c r="S37" i="10" s="1"/>
  <c r="K137" i="10"/>
  <c r="R137" i="10" s="1"/>
  <c r="S137" i="10" s="1"/>
  <c r="K136" i="10"/>
  <c r="R136" i="10" s="1"/>
  <c r="S136" i="10" s="1"/>
  <c r="K56" i="10"/>
  <c r="R56" i="10" s="1"/>
  <c r="S56" i="10" s="1"/>
  <c r="K122" i="10"/>
  <c r="R122" i="10" s="1"/>
  <c r="S122" i="10" s="1"/>
  <c r="K4" i="10"/>
  <c r="R4" i="10" s="1"/>
  <c r="S4" i="10" s="1"/>
  <c r="K171" i="10"/>
  <c r="R171" i="10" s="1"/>
  <c r="S171" i="10" s="1"/>
  <c r="K180" i="10"/>
  <c r="R180" i="10" s="1"/>
  <c r="S180" i="10" s="1"/>
  <c r="K117" i="10"/>
  <c r="R117" i="10" s="1"/>
  <c r="S117" i="10" s="1"/>
  <c r="K227" i="10"/>
  <c r="R227" i="10" s="1"/>
  <c r="S227" i="10" s="1"/>
  <c r="K3" i="10"/>
  <c r="R3" i="10" s="1"/>
  <c r="S3" i="10" s="1"/>
  <c r="K80" i="10"/>
  <c r="R80" i="10" s="1"/>
  <c r="S80" i="10" s="1"/>
  <c r="K230" i="10"/>
  <c r="R230" i="10" s="1"/>
  <c r="S230" i="10" s="1"/>
  <c r="K110" i="10"/>
  <c r="R110" i="10" s="1"/>
  <c r="S110" i="10" s="1"/>
  <c r="K106" i="10"/>
  <c r="R106" i="10" s="1"/>
  <c r="S106" i="10" s="1"/>
  <c r="K73" i="10"/>
  <c r="R73" i="10" s="1"/>
  <c r="S73" i="10" s="1"/>
  <c r="K156" i="10"/>
  <c r="R156" i="10" s="1"/>
  <c r="S156" i="10" s="1"/>
  <c r="K71" i="10"/>
  <c r="R71" i="10" s="1"/>
  <c r="S71" i="10" s="1"/>
  <c r="K163" i="10"/>
  <c r="R163" i="10" s="1"/>
  <c r="S163" i="10" s="1"/>
  <c r="K17" i="10"/>
  <c r="R17" i="10" s="1"/>
  <c r="S17" i="10" s="1"/>
  <c r="K10" i="10"/>
  <c r="R10" i="10" s="1"/>
  <c r="S10" i="10" s="1"/>
  <c r="K244" i="10"/>
  <c r="R244" i="10" s="1"/>
  <c r="S244" i="10" s="1"/>
  <c r="K205" i="10"/>
  <c r="R205" i="10" s="1"/>
  <c r="S205" i="10" s="1"/>
  <c r="K213" i="10"/>
  <c r="R213" i="10" s="1"/>
  <c r="S213" i="10" s="1"/>
  <c r="K185" i="10"/>
  <c r="R185" i="10" s="1"/>
  <c r="S185" i="10" s="1"/>
  <c r="K99" i="10"/>
  <c r="R99" i="10" s="1"/>
  <c r="S99" i="10" s="1"/>
  <c r="K131" i="10"/>
  <c r="R131" i="10" s="1"/>
  <c r="S131" i="10" s="1"/>
  <c r="K48" i="10"/>
  <c r="R48" i="10" s="1"/>
  <c r="S48" i="10" s="1"/>
  <c r="K8" i="10"/>
  <c r="R8" i="10" s="1"/>
  <c r="S8" i="10" s="1"/>
  <c r="K130" i="10"/>
  <c r="R130" i="10" s="1"/>
  <c r="S130" i="10" s="1"/>
  <c r="K169" i="10"/>
  <c r="R169" i="10" s="1"/>
  <c r="S169" i="10" s="1"/>
  <c r="K189" i="10"/>
  <c r="R189" i="10" s="1"/>
  <c r="S189" i="10" s="1"/>
  <c r="K62" i="10"/>
  <c r="R62" i="10" s="1"/>
  <c r="S62" i="10" s="1"/>
  <c r="K54" i="10"/>
  <c r="R54" i="10" s="1"/>
  <c r="S54" i="10" s="1"/>
  <c r="K150" i="10"/>
  <c r="R150" i="10" s="1"/>
  <c r="S150" i="10" s="1"/>
  <c r="K12" i="10"/>
  <c r="R12" i="10" s="1"/>
  <c r="S12" i="10" s="1"/>
  <c r="K198" i="10"/>
  <c r="R198" i="10" s="1"/>
  <c r="S198" i="10" s="1"/>
  <c r="K41" i="10"/>
  <c r="R41" i="10" s="1"/>
  <c r="S41" i="10" s="1"/>
  <c r="K74" i="10"/>
  <c r="R74" i="10" s="1"/>
  <c r="S74" i="10" s="1"/>
  <c r="K182" i="10"/>
  <c r="R182" i="10" s="1"/>
  <c r="S182" i="10" s="1"/>
  <c r="K85" i="10"/>
  <c r="R85" i="10" s="1"/>
  <c r="S85" i="10" s="1"/>
  <c r="K118" i="10"/>
  <c r="R118" i="10" s="1"/>
  <c r="S118" i="10" s="1"/>
  <c r="K93" i="10"/>
  <c r="R93" i="10" s="1"/>
  <c r="S93" i="10" s="1"/>
  <c r="K89" i="10"/>
  <c r="R89" i="10" s="1"/>
  <c r="S89" i="10" s="1"/>
  <c r="K25" i="10"/>
  <c r="R25" i="10" s="1"/>
  <c r="S25" i="10" s="1"/>
  <c r="K190" i="10"/>
  <c r="R190" i="10" s="1"/>
  <c r="S190" i="10" s="1"/>
  <c r="K113" i="10"/>
  <c r="R113" i="10" s="1"/>
  <c r="S113" i="10" s="1"/>
  <c r="K70" i="10"/>
  <c r="R70" i="10" s="1"/>
  <c r="S70" i="10" s="1"/>
  <c r="K6" i="10"/>
  <c r="R6" i="10" s="1"/>
  <c r="S6" i="10" s="1"/>
  <c r="K138" i="10"/>
  <c r="R138" i="10" s="1"/>
  <c r="S138" i="10" s="1"/>
  <c r="K86" i="10"/>
  <c r="R86" i="10" s="1"/>
  <c r="S86" i="10" s="1"/>
  <c r="K45" i="10"/>
  <c r="R45" i="10" s="1"/>
  <c r="S45" i="10" s="1"/>
  <c r="K245" i="10"/>
  <c r="R245" i="10" s="1"/>
  <c r="S245" i="10" s="1"/>
  <c r="K42" i="10"/>
  <c r="R42" i="10" s="1"/>
  <c r="S42" i="10" s="1"/>
  <c r="K5" i="10"/>
  <c r="R5" i="10" s="1"/>
  <c r="S5" i="10" s="1"/>
  <c r="K186" i="10"/>
  <c r="R186" i="10" s="1"/>
  <c r="S186" i="10" s="1"/>
  <c r="K125" i="10"/>
  <c r="R125" i="10" s="1"/>
  <c r="S125" i="10" s="1"/>
  <c r="K64" i="10"/>
  <c r="R64" i="10" s="1"/>
  <c r="S64" i="10" s="1"/>
  <c r="K158" i="10"/>
  <c r="R158" i="10" s="1"/>
  <c r="S158" i="10" s="1"/>
  <c r="K133" i="10"/>
  <c r="R133" i="10" s="1"/>
  <c r="S133" i="10" s="1"/>
  <c r="K121" i="10"/>
  <c r="R121" i="10" s="1"/>
  <c r="S121" i="10" s="1"/>
  <c r="K246" i="10"/>
  <c r="R246" i="10" s="1"/>
  <c r="S246" i="10" s="1"/>
  <c r="K226" i="10"/>
  <c r="R226" i="10" s="1"/>
  <c r="S226" i="10" s="1"/>
  <c r="K38" i="10"/>
  <c r="R38" i="10" s="1"/>
  <c r="S38" i="10" s="1"/>
  <c r="K24" i="10"/>
  <c r="R24" i="10" s="1"/>
  <c r="S24" i="10" s="1"/>
  <c r="K167" i="10"/>
  <c r="R167" i="10" s="1"/>
  <c r="S167" i="10" s="1"/>
  <c r="K192" i="10"/>
  <c r="R192" i="10" s="1"/>
  <c r="S192" i="10" s="1"/>
  <c r="K7" i="10"/>
  <c r="R7" i="10" s="1"/>
  <c r="S7" i="10" s="1"/>
  <c r="K165" i="10"/>
  <c r="R165" i="10" s="1"/>
  <c r="S165" i="10" s="1"/>
  <c r="K55" i="10"/>
  <c r="R55" i="10" s="1"/>
  <c r="S55" i="10" s="1"/>
  <c r="K19" i="10"/>
  <c r="R19" i="10" s="1"/>
  <c r="S19" i="10" s="1"/>
  <c r="K225" i="10"/>
  <c r="R225" i="10" s="1"/>
  <c r="S225" i="10" s="1"/>
  <c r="K83" i="10"/>
  <c r="R83" i="10" s="1"/>
  <c r="S83" i="10" s="1"/>
  <c r="K21" i="10"/>
  <c r="R21" i="10" s="1"/>
  <c r="S21" i="10" s="1"/>
  <c r="K134" i="10"/>
  <c r="R134" i="10" s="1"/>
  <c r="S134" i="10" s="1"/>
  <c r="K194" i="10"/>
  <c r="R194" i="10" s="1"/>
  <c r="S194" i="10" s="1"/>
  <c r="K168" i="10"/>
  <c r="R168" i="10" s="1"/>
  <c r="S168" i="10" s="1"/>
  <c r="K60" i="10"/>
  <c r="R60" i="10" s="1"/>
  <c r="S60" i="10" s="1"/>
  <c r="K29" i="10"/>
  <c r="R29" i="10" s="1"/>
  <c r="S29" i="10" s="1"/>
  <c r="K103" i="10"/>
  <c r="R103" i="10" s="1"/>
  <c r="S103" i="10" s="1"/>
  <c r="K242" i="10"/>
  <c r="R242" i="10" s="1"/>
  <c r="S242" i="10" s="1"/>
  <c r="K97" i="10"/>
  <c r="R97" i="10" s="1"/>
  <c r="S97" i="10" s="1"/>
  <c r="K164" i="10"/>
  <c r="R164" i="10" s="1"/>
  <c r="S164" i="10" s="1"/>
  <c r="K174" i="10"/>
  <c r="R174" i="10" s="1"/>
  <c r="S174" i="10" s="1"/>
  <c r="K30" i="10"/>
  <c r="R30" i="10" s="1"/>
  <c r="S30" i="10" s="1"/>
  <c r="K67" i="10"/>
  <c r="R67" i="10" s="1"/>
  <c r="S67" i="10" s="1"/>
  <c r="K101" i="10"/>
  <c r="R101" i="10" s="1"/>
  <c r="S101" i="10" s="1"/>
  <c r="K219" i="10"/>
  <c r="R219" i="10" s="1"/>
  <c r="S219" i="10" s="1"/>
  <c r="K141" i="10"/>
  <c r="R141" i="10" s="1"/>
  <c r="S141" i="10" s="1"/>
  <c r="K127" i="10"/>
  <c r="R127" i="10" s="1"/>
  <c r="S127" i="10" s="1"/>
  <c r="K172" i="10"/>
  <c r="R172" i="10" s="1"/>
  <c r="S172" i="10" s="1"/>
  <c r="K232" i="10"/>
  <c r="R232" i="10" s="1"/>
  <c r="S232" i="10" s="1"/>
  <c r="K147" i="10"/>
  <c r="R147" i="10" s="1"/>
  <c r="S147" i="10" s="1"/>
  <c r="K154" i="10"/>
  <c r="R154" i="10" s="1"/>
  <c r="S154" i="10" s="1"/>
  <c r="K231" i="10"/>
  <c r="R231" i="10" s="1"/>
  <c r="S231" i="10" s="1"/>
  <c r="K35" i="10"/>
  <c r="R35" i="10" s="1"/>
  <c r="S35" i="10" s="1"/>
  <c r="K148" i="10"/>
  <c r="R148" i="10" s="1"/>
  <c r="S148" i="10" s="1"/>
  <c r="K188" i="10"/>
  <c r="R188" i="10" s="1"/>
  <c r="S188" i="10" s="1"/>
  <c r="K218" i="10"/>
  <c r="R218" i="10" s="1"/>
  <c r="S218" i="10" s="1"/>
  <c r="K199" i="10"/>
  <c r="R199" i="10" s="1"/>
  <c r="S199" i="10" s="1"/>
  <c r="K222" i="10"/>
  <c r="R222" i="10" s="1"/>
  <c r="S222" i="10" s="1"/>
  <c r="K206" i="10"/>
  <c r="R206" i="10" s="1"/>
  <c r="S206" i="10" s="1"/>
  <c r="K160" i="10"/>
  <c r="R160" i="10" s="1"/>
  <c r="S160" i="10" s="1"/>
  <c r="K76" i="10"/>
  <c r="R76" i="10" s="1"/>
  <c r="S76" i="10" s="1"/>
  <c r="K75" i="10"/>
  <c r="R75" i="10" s="1"/>
  <c r="S75" i="10" s="1"/>
  <c r="K105" i="10"/>
  <c r="R105" i="10" s="1"/>
  <c r="S105" i="10" s="1"/>
  <c r="K197" i="10"/>
  <c r="R197" i="10" s="1"/>
  <c r="S197" i="10" s="1"/>
  <c r="K57" i="10"/>
  <c r="R57" i="10" s="1"/>
  <c r="S57" i="10" s="1"/>
  <c r="K247" i="10"/>
  <c r="R247" i="10" s="1"/>
  <c r="S247" i="10" s="1"/>
  <c r="K114" i="10"/>
  <c r="R114" i="10" s="1"/>
  <c r="S114" i="10" s="1"/>
  <c r="K224" i="10"/>
  <c r="R224" i="10" s="1"/>
  <c r="S224" i="10" s="1"/>
  <c r="K240" i="10"/>
  <c r="R240" i="10" s="1"/>
  <c r="S240" i="10" s="1"/>
  <c r="K59" i="10"/>
  <c r="R59" i="10" s="1"/>
  <c r="S59" i="10" s="1"/>
  <c r="K162" i="10"/>
  <c r="R162" i="10" s="1"/>
  <c r="S162" i="10" s="1"/>
  <c r="K212" i="10"/>
  <c r="R212" i="10" s="1"/>
  <c r="S212" i="10" s="1"/>
  <c r="K208" i="10"/>
  <c r="R208" i="10" s="1"/>
  <c r="S208" i="10" s="1"/>
  <c r="K108" i="10"/>
  <c r="R108" i="10" s="1"/>
  <c r="S108" i="10" s="1"/>
  <c r="K126" i="10"/>
  <c r="R126" i="10" s="1"/>
  <c r="S126" i="10" s="1"/>
  <c r="K132" i="10"/>
  <c r="R132" i="10" s="1"/>
  <c r="S132" i="10" s="1"/>
  <c r="K176" i="10"/>
  <c r="R176" i="10" s="1"/>
  <c r="S176" i="10" s="1"/>
  <c r="K107" i="10"/>
  <c r="R107" i="10" s="1"/>
  <c r="S107" i="10" s="1"/>
  <c r="K92" i="10"/>
  <c r="R92" i="10" s="1"/>
  <c r="S92" i="10" s="1"/>
  <c r="K170" i="10"/>
  <c r="R170" i="10" s="1"/>
  <c r="S170" i="10" s="1"/>
  <c r="K44" i="10"/>
  <c r="R44" i="10" s="1"/>
  <c r="S44" i="10" s="1"/>
  <c r="K102" i="10"/>
  <c r="R102" i="10" s="1"/>
  <c r="S102" i="10" s="1"/>
  <c r="K234" i="10"/>
  <c r="R234" i="10" s="1"/>
  <c r="S234" i="10" s="1"/>
  <c r="K251" i="10"/>
  <c r="R251" i="10" s="1"/>
  <c r="S251" i="10" s="1"/>
  <c r="K123" i="10"/>
  <c r="R123" i="10" s="1"/>
  <c r="S123" i="10" s="1"/>
  <c r="K100" i="10"/>
  <c r="R100" i="10" s="1"/>
  <c r="S100" i="10" s="1"/>
  <c r="K96" i="10"/>
  <c r="R96" i="10" s="1"/>
  <c r="S96" i="10" s="1"/>
  <c r="K210" i="10"/>
  <c r="R210" i="10" s="1"/>
  <c r="S210" i="10" s="1"/>
  <c r="K140" i="10"/>
  <c r="R140" i="10" s="1"/>
  <c r="S140" i="10" s="1"/>
  <c r="K28" i="10"/>
  <c r="R28" i="10" s="1"/>
  <c r="S28" i="10" s="1"/>
  <c r="K202" i="10"/>
  <c r="R202" i="10" s="1"/>
  <c r="S202" i="10" s="1"/>
  <c r="K237" i="10"/>
  <c r="R237" i="10" s="1"/>
  <c r="S237" i="10" s="1"/>
  <c r="K155" i="10"/>
  <c r="R155" i="10" s="1"/>
  <c r="S155" i="10" s="1"/>
  <c r="K139" i="10"/>
  <c r="R139" i="10" s="1"/>
  <c r="S139" i="10" s="1"/>
  <c r="K238" i="10"/>
  <c r="R238" i="10" s="1"/>
  <c r="S238" i="10" s="1"/>
  <c r="K203" i="10"/>
  <c r="R203" i="10" s="1"/>
  <c r="S203" i="10" s="1"/>
  <c r="K78" i="10"/>
  <c r="R78" i="10" s="1"/>
  <c r="S78" i="10" s="1"/>
  <c r="K14" i="10"/>
  <c r="R14" i="10" s="1"/>
  <c r="S14" i="10" s="1"/>
  <c r="K142" i="10"/>
  <c r="R142" i="10" s="1"/>
  <c r="S142" i="10" s="1"/>
  <c r="K157" i="10"/>
  <c r="R157" i="10" s="1"/>
  <c r="S157" i="10" s="1"/>
  <c r="K61" i="10"/>
  <c r="R61" i="10" s="1"/>
  <c r="S61" i="10" s="1"/>
  <c r="K250" i="10"/>
  <c r="R250" i="10" s="1"/>
  <c r="S250" i="10" s="1"/>
  <c r="K23" i="10"/>
  <c r="R23" i="10" s="1"/>
  <c r="S23" i="10" s="1"/>
  <c r="K214" i="10"/>
  <c r="R214" i="10" s="1"/>
  <c r="S214" i="10" s="1"/>
  <c r="K181" i="10"/>
  <c r="R181" i="10" s="1"/>
  <c r="S181" i="10" s="1"/>
  <c r="K243" i="10"/>
  <c r="R243" i="10" s="1"/>
  <c r="S243" i="10" s="1"/>
  <c r="K217" i="10"/>
  <c r="R217" i="10" s="1"/>
  <c r="S217" i="10" s="1"/>
  <c r="K82" i="10"/>
  <c r="R82" i="10" s="1"/>
  <c r="S82" i="10" s="1"/>
  <c r="K91" i="10"/>
  <c r="R91" i="10" s="1"/>
  <c r="S91" i="10" s="1"/>
  <c r="K22" i="10"/>
  <c r="R22" i="10" s="1"/>
  <c r="S22" i="10" s="1"/>
  <c r="K228" i="10"/>
  <c r="R228" i="10" s="1"/>
  <c r="S228" i="10" s="1"/>
  <c r="K220" i="10"/>
  <c r="R220" i="10" s="1"/>
  <c r="S220" i="10" s="1"/>
  <c r="K11" i="10"/>
  <c r="R11" i="10" s="1"/>
  <c r="S11" i="10" s="1"/>
  <c r="K235" i="10"/>
  <c r="R235" i="10" s="1"/>
  <c r="S235" i="10" s="1"/>
  <c r="K124" i="10"/>
  <c r="R124" i="10" s="1"/>
  <c r="S124" i="10" s="1"/>
  <c r="K178" i="10"/>
  <c r="R178" i="10" s="1"/>
  <c r="S178" i="10" s="1"/>
  <c r="K109" i="10"/>
  <c r="R109" i="10" s="1"/>
  <c r="S109" i="10" s="1"/>
  <c r="K34" i="10"/>
  <c r="R34" i="10" s="1"/>
  <c r="S34" i="10" s="1"/>
  <c r="K49" i="10"/>
  <c r="R49" i="10" s="1"/>
  <c r="S49" i="10" s="1"/>
  <c r="K68" i="10"/>
  <c r="R68" i="10" s="1"/>
  <c r="S68" i="10" s="1"/>
  <c r="K116" i="10"/>
  <c r="R116" i="10" s="1"/>
  <c r="S116" i="10" s="1"/>
  <c r="K72" i="10"/>
  <c r="R72" i="10" s="1"/>
  <c r="S72" i="10" s="1"/>
  <c r="K47" i="10"/>
  <c r="R47" i="10" s="1"/>
  <c r="S47" i="10" s="1"/>
  <c r="K144" i="10"/>
  <c r="R144" i="10" s="1"/>
  <c r="S144" i="10" s="1"/>
  <c r="K146" i="10"/>
  <c r="R146" i="10" s="1"/>
  <c r="S146" i="10" s="1"/>
  <c r="K63" i="10"/>
  <c r="R63" i="10" s="1"/>
  <c r="S63" i="10" s="1"/>
  <c r="K177" i="10"/>
  <c r="R177" i="10" s="1"/>
  <c r="S177" i="10" s="1"/>
  <c r="K69" i="10"/>
  <c r="R69" i="10" s="1"/>
  <c r="S69" i="10" s="1"/>
  <c r="K161" i="10"/>
  <c r="R161" i="10" s="1"/>
  <c r="S161" i="10" s="1"/>
  <c r="K31" i="10"/>
  <c r="R31" i="10" s="1"/>
  <c r="S31" i="10" s="1"/>
  <c r="K239" i="10"/>
  <c r="R239" i="10" s="1"/>
  <c r="S239" i="10" s="1"/>
  <c r="K2" i="10"/>
  <c r="K184" i="10"/>
  <c r="R184" i="10" s="1"/>
  <c r="S184" i="10" s="1"/>
  <c r="K241" i="10"/>
  <c r="R241" i="10" s="1"/>
  <c r="S241" i="10" s="1"/>
  <c r="K175" i="10"/>
  <c r="R175" i="10" s="1"/>
  <c r="S175" i="10" s="1"/>
  <c r="K159" i="10"/>
  <c r="R159" i="10" s="1"/>
  <c r="S159" i="10" s="1"/>
  <c r="K145" i="10"/>
  <c r="R145" i="10" s="1"/>
  <c r="S145" i="10" s="1"/>
  <c r="K191" i="10"/>
  <c r="R191" i="10" s="1"/>
  <c r="S191" i="10" s="1"/>
  <c r="K152" i="10"/>
  <c r="R152" i="10" s="1"/>
  <c r="S152" i="10" s="1"/>
  <c r="K196" i="10"/>
  <c r="R196" i="10" s="1"/>
  <c r="S196" i="10" s="1"/>
  <c r="K46" i="10"/>
  <c r="R46" i="10" s="1"/>
  <c r="S46" i="10" s="1"/>
  <c r="K207" i="10"/>
  <c r="R207" i="10" s="1"/>
  <c r="S207" i="10" s="1"/>
  <c r="K216" i="10"/>
  <c r="R216" i="10" s="1"/>
  <c r="S216" i="10" s="1"/>
  <c r="K13" i="10"/>
  <c r="R13" i="10" s="1"/>
  <c r="S13" i="10" s="1"/>
  <c r="K248" i="10"/>
  <c r="R248" i="10" s="1"/>
  <c r="S248" i="10" s="1"/>
  <c r="K221" i="10"/>
  <c r="R221" i="10" s="1"/>
  <c r="S221" i="10" s="1"/>
  <c r="K43" i="10"/>
  <c r="R43" i="10" s="1"/>
  <c r="S43" i="10" s="1"/>
  <c r="K79" i="10"/>
  <c r="R79" i="10" s="1"/>
  <c r="S79" i="10" s="1"/>
  <c r="K112" i="10"/>
  <c r="R112" i="10" s="1"/>
  <c r="S112" i="10" s="1"/>
  <c r="K15" i="10"/>
  <c r="R15" i="10" s="1"/>
  <c r="S15" i="10" s="1"/>
  <c r="K36" i="10"/>
  <c r="R36" i="10" s="1"/>
  <c r="S36" i="10" s="1"/>
  <c r="K200" i="10"/>
  <c r="R200" i="10" s="1"/>
  <c r="S200" i="10" s="1"/>
  <c r="K211" i="10"/>
  <c r="R211" i="10" s="1"/>
  <c r="S211" i="10" s="1"/>
  <c r="K120" i="10"/>
  <c r="R120" i="10" s="1"/>
  <c r="S120" i="10" s="1"/>
  <c r="K81" i="10"/>
  <c r="R81" i="10" s="1"/>
  <c r="S81" i="10" s="1"/>
  <c r="K39" i="10"/>
  <c r="R39" i="10" s="1"/>
  <c r="S39" i="10" s="1"/>
  <c r="K209" i="10"/>
  <c r="R209" i="10" s="1"/>
  <c r="S209" i="10" s="1"/>
  <c r="K33" i="10"/>
  <c r="R33" i="10" s="1"/>
  <c r="S33" i="10" s="1"/>
  <c r="K104" i="10"/>
  <c r="R104" i="10" s="1"/>
  <c r="S104" i="10" s="1"/>
  <c r="K51" i="10"/>
  <c r="R51" i="10" s="1"/>
  <c r="S51" i="10" s="1"/>
  <c r="K193" i="10"/>
  <c r="R193" i="10" s="1"/>
  <c r="S193" i="10" s="1"/>
  <c r="K128" i="10"/>
  <c r="R128" i="10" s="1"/>
  <c r="S128" i="10" s="1"/>
  <c r="K223" i="10"/>
  <c r="R223" i="10" s="1"/>
  <c r="S223" i="10" s="1"/>
  <c r="K111" i="10"/>
  <c r="R111" i="10" s="1"/>
  <c r="S111" i="10" s="1"/>
  <c r="K236" i="10"/>
  <c r="R236" i="10" s="1"/>
  <c r="S236" i="10" s="1"/>
  <c r="K95" i="10"/>
  <c r="R95" i="10" s="1"/>
  <c r="S95" i="10" s="1"/>
  <c r="K143" i="10"/>
  <c r="R143" i="10" s="1"/>
  <c r="S143" i="10" s="1"/>
  <c r="R2" i="10" l="1"/>
  <c r="W4" i="10"/>
  <c r="W5" i="10" s="1"/>
  <c r="S2" i="10" l="1"/>
</calcChain>
</file>

<file path=xl/sharedStrings.xml><?xml version="1.0" encoding="utf-8"?>
<sst xmlns="http://schemas.openxmlformats.org/spreadsheetml/2006/main" count="2825" uniqueCount="573">
  <si>
    <t>Customer_ID</t>
  </si>
  <si>
    <t>Customer_Name</t>
  </si>
  <si>
    <t>Customer_Size</t>
  </si>
  <si>
    <t>Industry</t>
  </si>
  <si>
    <t>Region</t>
  </si>
  <si>
    <t>Tenure_Months</t>
  </si>
  <si>
    <t>Number_of_users</t>
  </si>
  <si>
    <t>Retention_probability</t>
  </si>
  <si>
    <t>CM001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</si>
  <si>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</si>
  <si>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</si>
  <si>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</si>
  <si>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</si>
  <si>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</si>
  <si>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</si>
  <si>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</si>
  <si>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</si>
  <si>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</si>
  <si>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CM011</t>
  </si>
  <si>
    <t>CM012</t>
  </si>
  <si>
    <t>CM013</t>
  </si>
  <si>
    <t>CM014</t>
  </si>
  <si>
    <t>CM015</t>
  </si>
  <si>
    <t>CM016</t>
  </si>
  <si>
    <t>CM017</t>
  </si>
  <si>
    <t>CM018</t>
  </si>
  <si>
    <t>CM019</t>
  </si>
  <si>
    <t>CM020</t>
  </si>
  <si>
    <t>CM021</t>
  </si>
  <si>
    <t>CM022</t>
  </si>
  <si>
    <t>CM023</t>
  </si>
  <si>
    <t>CM024</t>
  </si>
  <si>
    <t>CM025</t>
  </si>
  <si>
    <t>CM026</t>
  </si>
  <si>
    <t>CM027</t>
  </si>
  <si>
    <t>CM028</t>
  </si>
  <si>
    <t>CM029</t>
  </si>
  <si>
    <t>CM030</t>
  </si>
  <si>
    <t>CM031</t>
  </si>
  <si>
    <t>CM032</t>
  </si>
  <si>
    <t>CM033</t>
  </si>
  <si>
    <t>CM034</t>
  </si>
  <si>
    <t>CM035</t>
  </si>
  <si>
    <t>CM036</t>
  </si>
  <si>
    <t>CM037</t>
  </si>
  <si>
    <t>CM038</t>
  </si>
  <si>
    <t>CM039</t>
  </si>
  <si>
    <t>CM040</t>
  </si>
  <si>
    <t>CM041</t>
  </si>
  <si>
    <t>CM042</t>
  </si>
  <si>
    <t>CM043</t>
  </si>
  <si>
    <t>CM044</t>
  </si>
  <si>
    <t>CM045</t>
  </si>
  <si>
    <t>CM046</t>
  </si>
  <si>
    <t>CM047</t>
  </si>
  <si>
    <t>CM048</t>
  </si>
  <si>
    <t>CM049</t>
  </si>
  <si>
    <t>CM050</t>
  </si>
  <si>
    <t>CM051</t>
  </si>
  <si>
    <t>CM052</t>
  </si>
  <si>
    <t>CM053</t>
  </si>
  <si>
    <t>CM054</t>
  </si>
  <si>
    <t>CM055</t>
  </si>
  <si>
    <t>CM056</t>
  </si>
  <si>
    <t>CM057</t>
  </si>
  <si>
    <t>CM058</t>
  </si>
  <si>
    <t>CM059</t>
  </si>
  <si>
    <t>CM060</t>
  </si>
  <si>
    <t>CM061</t>
  </si>
  <si>
    <t>CM062</t>
  </si>
  <si>
    <t>CM063</t>
  </si>
  <si>
    <t>CM064</t>
  </si>
  <si>
    <t>CM065</t>
  </si>
  <si>
    <t>CM066</t>
  </si>
  <si>
    <t>CM067</t>
  </si>
  <si>
    <t>CM068</t>
  </si>
  <si>
    <t>CM069</t>
  </si>
  <si>
    <t>CM070</t>
  </si>
  <si>
    <t>CM071</t>
  </si>
  <si>
    <t>CM072</t>
  </si>
  <si>
    <t>CM073</t>
  </si>
  <si>
    <t>CM074</t>
  </si>
  <si>
    <t>CM075</t>
  </si>
  <si>
    <t>CM076</t>
  </si>
  <si>
    <t>CM077</t>
  </si>
  <si>
    <t>CM078</t>
  </si>
  <si>
    <t>CM079</t>
  </si>
  <si>
    <t>CM080</t>
  </si>
  <si>
    <t>CM081</t>
  </si>
  <si>
    <t>CM082</t>
  </si>
  <si>
    <t>CM083</t>
  </si>
  <si>
    <t>CM084</t>
  </si>
  <si>
    <t>CM085</t>
  </si>
  <si>
    <t>CM086</t>
  </si>
  <si>
    <t>CM087</t>
  </si>
  <si>
    <t>CM088</t>
  </si>
  <si>
    <t>CM089</t>
  </si>
  <si>
    <t>CM090</t>
  </si>
  <si>
    <t>CM091</t>
  </si>
  <si>
    <t>CM092</t>
  </si>
  <si>
    <t>CM093</t>
  </si>
  <si>
    <t>CM094</t>
  </si>
  <si>
    <t>CM095</t>
  </si>
  <si>
    <t>CM096</t>
  </si>
  <si>
    <t>CM097</t>
  </si>
  <si>
    <t>CM098</t>
  </si>
  <si>
    <t>CM099</t>
  </si>
  <si>
    <t>CM100</t>
  </si>
  <si>
    <t>CM101</t>
  </si>
  <si>
    <t>CM102</t>
  </si>
  <si>
    <t>CM103</t>
  </si>
  <si>
    <t>CM104</t>
  </si>
  <si>
    <t>CM105</t>
  </si>
  <si>
    <t>CM106</t>
  </si>
  <si>
    <t>CM107</t>
  </si>
  <si>
    <t>CM108</t>
  </si>
  <si>
    <t>CM109</t>
  </si>
  <si>
    <t>CM110</t>
  </si>
  <si>
    <t>CM111</t>
  </si>
  <si>
    <t>CM112</t>
  </si>
  <si>
    <t>CM113</t>
  </si>
  <si>
    <t>CM114</t>
  </si>
  <si>
    <t>CM115</t>
  </si>
  <si>
    <t>CM116</t>
  </si>
  <si>
    <t>CM117</t>
  </si>
  <si>
    <t>CM118</t>
  </si>
  <si>
    <t>CM119</t>
  </si>
  <si>
    <t>CM120</t>
  </si>
  <si>
    <t>CM121</t>
  </si>
  <si>
    <t>CM122</t>
  </si>
  <si>
    <t>CM123</t>
  </si>
  <si>
    <t>CM124</t>
  </si>
  <si>
    <t>CM125</t>
  </si>
  <si>
    <t>CM126</t>
  </si>
  <si>
    <t>CM127</t>
  </si>
  <si>
    <t>CM128</t>
  </si>
  <si>
    <t>CM129</t>
  </si>
  <si>
    <t>CM130</t>
  </si>
  <si>
    <t>CM131</t>
  </si>
  <si>
    <t>CM132</t>
  </si>
  <si>
    <t>CM133</t>
  </si>
  <si>
    <t>CM134</t>
  </si>
  <si>
    <t>CM135</t>
  </si>
  <si>
    <t>CM136</t>
  </si>
  <si>
    <t>CM137</t>
  </si>
  <si>
    <t>CM138</t>
  </si>
  <si>
    <t>CM139</t>
  </si>
  <si>
    <t>CM140</t>
  </si>
  <si>
    <t>CM141</t>
  </si>
  <si>
    <t>CM142</t>
  </si>
  <si>
    <t>CM143</t>
  </si>
  <si>
    <t>CM144</t>
  </si>
  <si>
    <t>CM145</t>
  </si>
  <si>
    <t>CM146</t>
  </si>
  <si>
    <t>CM147</t>
  </si>
  <si>
    <t>CM148</t>
  </si>
  <si>
    <t>CM149</t>
  </si>
  <si>
    <t>CM150</t>
  </si>
  <si>
    <t>CM151</t>
  </si>
  <si>
    <t>CM152</t>
  </si>
  <si>
    <t>CM153</t>
  </si>
  <si>
    <t>CM154</t>
  </si>
  <si>
    <t>CM155</t>
  </si>
  <si>
    <t>CM156</t>
  </si>
  <si>
    <t>CM157</t>
  </si>
  <si>
    <t>CM158</t>
  </si>
  <si>
    <t>CM159</t>
  </si>
  <si>
    <t>CM160</t>
  </si>
  <si>
    <t>CM161</t>
  </si>
  <si>
    <t>CM162</t>
  </si>
  <si>
    <t>CM163</t>
  </si>
  <si>
    <t>CM164</t>
  </si>
  <si>
    <t>CM165</t>
  </si>
  <si>
    <t>CM166</t>
  </si>
  <si>
    <t>CM167</t>
  </si>
  <si>
    <t>CM168</t>
  </si>
  <si>
    <t>CM169</t>
  </si>
  <si>
    <t>CM170</t>
  </si>
  <si>
    <t>CM171</t>
  </si>
  <si>
    <t>CM172</t>
  </si>
  <si>
    <t>CM173</t>
  </si>
  <si>
    <t>CM174</t>
  </si>
  <si>
    <t>CM175</t>
  </si>
  <si>
    <t>CM176</t>
  </si>
  <si>
    <t>CM177</t>
  </si>
  <si>
    <t>CM178</t>
  </si>
  <si>
    <t>CM179</t>
  </si>
  <si>
    <t>CM180</t>
  </si>
  <si>
    <t>CM181</t>
  </si>
  <si>
    <t>CM182</t>
  </si>
  <si>
    <t>CM183</t>
  </si>
  <si>
    <t>CM184</t>
  </si>
  <si>
    <t>CM185</t>
  </si>
  <si>
    <t>CM186</t>
  </si>
  <si>
    <t>CM187</t>
  </si>
  <si>
    <t>CM188</t>
  </si>
  <si>
    <t>CM189</t>
  </si>
  <si>
    <t>CM190</t>
  </si>
  <si>
    <t>CM191</t>
  </si>
  <si>
    <t>CM192</t>
  </si>
  <si>
    <t>CM193</t>
  </si>
  <si>
    <t>CM194</t>
  </si>
  <si>
    <t>CM195</t>
  </si>
  <si>
    <t>CM196</t>
  </si>
  <si>
    <t>CM197</t>
  </si>
  <si>
    <t>CM198</t>
  </si>
  <si>
    <t>CM199</t>
  </si>
  <si>
    <t>CM200</t>
  </si>
  <si>
    <t>CM201</t>
  </si>
  <si>
    <t>CM202</t>
  </si>
  <si>
    <t>CM203</t>
  </si>
  <si>
    <t>CM204</t>
  </si>
  <si>
    <t>CM205</t>
  </si>
  <si>
    <t>CM206</t>
  </si>
  <si>
    <t>CM207</t>
  </si>
  <si>
    <t>CM208</t>
  </si>
  <si>
    <t>CM209</t>
  </si>
  <si>
    <t>CM210</t>
  </si>
  <si>
    <t>CM211</t>
  </si>
  <si>
    <t>CM212</t>
  </si>
  <si>
    <t>CM213</t>
  </si>
  <si>
    <t>CM214</t>
  </si>
  <si>
    <t>CM215</t>
  </si>
  <si>
    <t>CM216</t>
  </si>
  <si>
    <t>CM217</t>
  </si>
  <si>
    <t>CM218</t>
  </si>
  <si>
    <t>CM219</t>
  </si>
  <si>
    <t>CM220</t>
  </si>
  <si>
    <t>CM221</t>
  </si>
  <si>
    <t>CM222</t>
  </si>
  <si>
    <t>CM223</t>
  </si>
  <si>
    <t>CM224</t>
  </si>
  <si>
    <t>CM225</t>
  </si>
  <si>
    <t>CM226</t>
  </si>
  <si>
    <t>CM227</t>
  </si>
  <si>
    <t>CM228</t>
  </si>
  <si>
    <t>CM229</t>
  </si>
  <si>
    <t>CM230</t>
  </si>
  <si>
    <t>CM231</t>
  </si>
  <si>
    <t>CM232</t>
  </si>
  <si>
    <t>CM233</t>
  </si>
  <si>
    <t>CM234</t>
  </si>
  <si>
    <t>CM235</t>
  </si>
  <si>
    <t>CM236</t>
  </si>
  <si>
    <t>CM237</t>
  </si>
  <si>
    <t>CM238</t>
  </si>
  <si>
    <t>CM239</t>
  </si>
  <si>
    <t>CM240</t>
  </si>
  <si>
    <t>CM241</t>
  </si>
  <si>
    <t>CM242</t>
  </si>
  <si>
    <t>CM243</t>
  </si>
  <si>
    <t>CM244</t>
  </si>
  <si>
    <t>CM245</t>
  </si>
  <si>
    <t>CM246</t>
  </si>
  <si>
    <t>CM247</t>
  </si>
  <si>
    <t>CM248</t>
  </si>
  <si>
    <t>CM249</t>
  </si>
  <si>
    <t>CM250</t>
  </si>
  <si>
    <t>SMB</t>
  </si>
  <si>
    <t>Mid-Market</t>
  </si>
  <si>
    <t>Enterprise</t>
  </si>
  <si>
    <t>Analytics SaaS</t>
  </si>
  <si>
    <t>West</t>
  </si>
  <si>
    <t>FinTech SaaS</t>
  </si>
  <si>
    <t>North</t>
  </si>
  <si>
    <t>EdTech SaaS</t>
  </si>
  <si>
    <t>East</t>
  </si>
  <si>
    <t>International</t>
  </si>
  <si>
    <t>CRM SaaS</t>
  </si>
  <si>
    <t>South</t>
  </si>
  <si>
    <t>ERP SaaS</t>
  </si>
  <si>
    <t>HR SaaS</t>
  </si>
  <si>
    <t>Annual_Subscription_Revenue</t>
  </si>
  <si>
    <t>AlphaTech Systems</t>
  </si>
  <si>
    <t>Zenith Solutions</t>
  </si>
  <si>
    <t>NovaEdge Technologies</t>
  </si>
  <si>
    <t>Apex Digital Labs</t>
  </si>
  <si>
    <t>PrimeCore Software</t>
  </si>
  <si>
    <t>FusionWorks Analytics</t>
  </si>
  <si>
    <t>QuantumSphere Solutions</t>
  </si>
  <si>
    <t>MatrixLogic Systems</t>
  </si>
  <si>
    <t>Vertex Innovations</t>
  </si>
  <si>
    <t>Orion Data Labs</t>
  </si>
  <si>
    <t>Nimbus Technologies</t>
  </si>
  <si>
    <t>StellarWave Solutions</t>
  </si>
  <si>
    <t>Atlas Digital Services</t>
  </si>
  <si>
    <t>Titan Software Group</t>
  </si>
  <si>
    <t>Vector Insights</t>
  </si>
  <si>
    <t>Summit Innovations</t>
  </si>
  <si>
    <t>Velocity Networks</t>
  </si>
  <si>
    <t>CypherTech Systems</t>
  </si>
  <si>
    <t>Horizon Analytics</t>
  </si>
  <si>
    <t>Vanguard Digital</t>
  </si>
  <si>
    <t>NextEra Systems</t>
  </si>
  <si>
    <t>BluePeak Technologies</t>
  </si>
  <si>
    <t>NorthStar Analytics</t>
  </si>
  <si>
    <t>Silverline Software</t>
  </si>
  <si>
    <t>BrightPath Digital</t>
  </si>
  <si>
    <t>CoreVision Systems</t>
  </si>
  <si>
    <t>EdgePoint Technologies</t>
  </si>
  <si>
    <t>SkyBridge Solutions</t>
  </si>
  <si>
    <t>DataForge Analytics</t>
  </si>
  <si>
    <t>IronGate Digital</t>
  </si>
  <si>
    <t>CrystalLogic Systems</t>
  </si>
  <si>
    <t>PulseWave Technologies</t>
  </si>
  <si>
    <t>PrimeOrbit Digital</t>
  </si>
  <si>
    <t>InnovaCore Solutions</t>
  </si>
  <si>
    <t>StormPeak Technologies</t>
  </si>
  <si>
    <t>Arcadia Digital Labs</t>
  </si>
  <si>
    <t>CrestPoint Systems</t>
  </si>
  <si>
    <t>SignalWorks Analytics</t>
  </si>
  <si>
    <t>HelixWave Technologies</t>
  </si>
  <si>
    <t>Pioneer Data Systems</t>
  </si>
  <si>
    <t>TrueNorth Digital</t>
  </si>
  <si>
    <t>BrightArc Technologies</t>
  </si>
  <si>
    <t>Unified Logic Systems</t>
  </si>
  <si>
    <t>Everest Data Labs</t>
  </si>
  <si>
    <t>Cobalt Digital Services</t>
  </si>
  <si>
    <t>AstraCore Technologies</t>
  </si>
  <si>
    <t>Titanium Analytics</t>
  </si>
  <si>
    <t>Equinox Systems</t>
  </si>
  <si>
    <t>Radiant Digital</t>
  </si>
  <si>
    <t>CrownEdge Technologies</t>
  </si>
  <si>
    <t>Hyperion Data Labs</t>
  </si>
  <si>
    <t>ClarityWorks Digital</t>
  </si>
  <si>
    <t>Insight Matrix Solutions</t>
  </si>
  <si>
    <t>Momentum Software Group</t>
  </si>
  <si>
    <t>GraniteTech Systems</t>
  </si>
  <si>
    <t>Optimus Digital Labs</t>
  </si>
  <si>
    <t>NeonPeak Technologies</t>
  </si>
  <si>
    <t>Luminate Analytics</t>
  </si>
  <si>
    <t>Aurora Digital Systems</t>
  </si>
  <si>
    <t>VectorCore Technologies</t>
  </si>
  <si>
    <t>Integra Solutions Group</t>
  </si>
  <si>
    <t>BlueStone Analytics</t>
  </si>
  <si>
    <t>PrimeWave Digital</t>
  </si>
  <si>
    <t>NovaStream Technologies</t>
  </si>
  <si>
    <t>SummitGate Systems</t>
  </si>
  <si>
    <t>ZenCore Digital</t>
  </si>
  <si>
    <t>NimbusWave Analytics</t>
  </si>
  <si>
    <t>IronPeak Technologies</t>
  </si>
  <si>
    <t>ApexTrail Systems</t>
  </si>
  <si>
    <t>Vertex Data Works</t>
  </si>
  <si>
    <t>GalaxyCore Digital</t>
  </si>
  <si>
    <t>CrestLine Technologies</t>
  </si>
  <si>
    <t>SignalCore Analytics</t>
  </si>
  <si>
    <t>CrystalPeak Systems</t>
  </si>
  <si>
    <t>NorthBridge Digital</t>
  </si>
  <si>
    <t>OrionGate Technologies</t>
  </si>
  <si>
    <t>TitanWave Analytics</t>
  </si>
  <si>
    <t>PulseBridge Systems</t>
  </si>
  <si>
    <t>AtlasCore Digital</t>
  </si>
  <si>
    <t>CoreSphere Technologies</t>
  </si>
  <si>
    <t>Velocity Data Labs</t>
  </si>
  <si>
    <t>NextPoint Analytics</t>
  </si>
  <si>
    <t>AlphaWave Digital</t>
  </si>
  <si>
    <t>ZenithCore Technologies</t>
  </si>
  <si>
    <t>PrimeAxis Systems</t>
  </si>
  <si>
    <t>BlueCloud Analytics</t>
  </si>
  <si>
    <t>SkyCore Digital</t>
  </si>
  <si>
    <t>QuantumGate Technologies</t>
  </si>
  <si>
    <t>MatrixPeak Systems</t>
  </si>
  <si>
    <t>VectorNova Solutions</t>
  </si>
  <si>
    <t>SummitData Labs</t>
  </si>
  <si>
    <t>AstraWave Technologies</t>
  </si>
  <si>
    <t>HorizonCore Digital</t>
  </si>
  <si>
    <t>IronBridge Analytics</t>
  </si>
  <si>
    <t>BrightWave Systems</t>
  </si>
  <si>
    <t>PulseCore Digital</t>
  </si>
  <si>
    <t>VertexEdge Technologies</t>
  </si>
  <si>
    <t>Evercore Analytics</t>
  </si>
  <si>
    <t>NorthAxis Digital</t>
  </si>
  <si>
    <t>SignalSphere Systems</t>
  </si>
  <si>
    <t>PrimeMatrix Technologies</t>
  </si>
  <si>
    <t>TitanLogic Digital</t>
  </si>
  <si>
    <t>AuroraPeak Systems</t>
  </si>
  <si>
    <t>CoreDigital Labs</t>
  </si>
  <si>
    <t>ClarityEdge Technologies</t>
  </si>
  <si>
    <t>NextCore Analytics</t>
  </si>
  <si>
    <t>IronSphere Systems</t>
  </si>
  <si>
    <t>HelixCore Digital</t>
  </si>
  <si>
    <t>SummitLogic Technologies</t>
  </si>
  <si>
    <t>BlueVector Systems</t>
  </si>
  <si>
    <t>OrionLogic Digital</t>
  </si>
  <si>
    <t>PulseVector Analytics</t>
  </si>
  <si>
    <t>AlphaCrest Technologies</t>
  </si>
  <si>
    <t>ZenithBridge Systems</t>
  </si>
  <si>
    <t>MatrixEdge Digital</t>
  </si>
  <si>
    <t>CoreWave Analytics</t>
  </si>
  <si>
    <t>PrimeStone Technologies</t>
  </si>
  <si>
    <t>NimbusBridge Systems</t>
  </si>
  <si>
    <t>ApexCore Digital</t>
  </si>
  <si>
    <t>SignalPeak Analytics</t>
  </si>
  <si>
    <t>TitanSphere Technologies</t>
  </si>
  <si>
    <t>QuantumLogic Systems</t>
  </si>
  <si>
    <t>NovaLogic Digital</t>
  </si>
  <si>
    <t>VectorStone Analytics</t>
  </si>
  <si>
    <t>CrystalData Systems</t>
  </si>
  <si>
    <t>SummitSphere Digital</t>
  </si>
  <si>
    <t>BlueGate Analytics</t>
  </si>
  <si>
    <t>PrimeBridge Technologies</t>
  </si>
  <si>
    <t>IronLogic Systems</t>
  </si>
  <si>
    <t>AstraLogic Digital</t>
  </si>
  <si>
    <t>PulseStone Analytics</t>
  </si>
  <si>
    <t>CoreBridge Systems</t>
  </si>
  <si>
    <t>HorizonLogic Digital</t>
  </si>
  <si>
    <t>VertexStone Analytics</t>
  </si>
  <si>
    <t>MatrixSphere Systems</t>
  </si>
  <si>
    <t>PrimeLogic Digital</t>
  </si>
  <si>
    <t>QuantumStone Analytics</t>
  </si>
  <si>
    <t>BlueSphere Systems</t>
  </si>
  <si>
    <t>TitanBridge Digital</t>
  </si>
  <si>
    <t>SignalLogic Analytics</t>
  </si>
  <si>
    <t>Evercore Systems</t>
  </si>
  <si>
    <t>NovaCore Digital</t>
  </si>
  <si>
    <t>VectorLogic Analytics</t>
  </si>
  <si>
    <t>SummitCore Systems</t>
  </si>
  <si>
    <t>ClarityLogic Digital</t>
  </si>
  <si>
    <t>IronCore Analytics</t>
  </si>
  <si>
    <t>PrimeData Systems</t>
  </si>
  <si>
    <t>ZenithData Digital</t>
  </si>
  <si>
    <t>AlphaData Analytics</t>
  </si>
  <si>
    <t>MatrixData Systems</t>
  </si>
  <si>
    <t>AuroraData Digital</t>
  </si>
  <si>
    <t>TitanData Analytics</t>
  </si>
  <si>
    <t>BlueData Systems</t>
  </si>
  <si>
    <t>CoreData Digital</t>
  </si>
  <si>
    <t>PulseData Analytics</t>
  </si>
  <si>
    <t>VertexData Systems</t>
  </si>
  <si>
    <t>SignalData Digital</t>
  </si>
  <si>
    <t>PrimeInsight Analytics</t>
  </si>
  <si>
    <t>NovaInsight Systems</t>
  </si>
  <si>
    <t>VectorInsight Digital</t>
  </si>
  <si>
    <t>CrystalInsight Analytics</t>
  </si>
  <si>
    <t>SummitInsight Systems</t>
  </si>
  <si>
    <t>BlueInsight Digital</t>
  </si>
  <si>
    <t>CoreInsight Analytics</t>
  </si>
  <si>
    <t>TitanInsight Systems</t>
  </si>
  <si>
    <t>HorizonInsight Digital</t>
  </si>
  <si>
    <t>PulseInsight Analytics</t>
  </si>
  <si>
    <t>ZenithInsight Systems</t>
  </si>
  <si>
    <t>AtlasInsight Digital</t>
  </si>
  <si>
    <t>PrimeNetworks</t>
  </si>
  <si>
    <t>Apex Networks Group</t>
  </si>
  <si>
    <t>Zenith Networks</t>
  </si>
  <si>
    <t>Aurora Networks</t>
  </si>
  <si>
    <t>Core Networks</t>
  </si>
  <si>
    <t>Matrix Networks India</t>
  </si>
  <si>
    <t>NorthStar Networks</t>
  </si>
  <si>
    <t>Prime Enterprise Systems</t>
  </si>
  <si>
    <t>Summit Enterprise Group</t>
  </si>
  <si>
    <t>Vector Enterprise Solutions</t>
  </si>
  <si>
    <t>Apex Enterprise Digital</t>
  </si>
  <si>
    <t>Alpha Enterprise Systems</t>
  </si>
  <si>
    <t>Titan Enterprise Solutions</t>
  </si>
  <si>
    <t>BlueWave Enterprise</t>
  </si>
  <si>
    <t>Signal Enterprise Solutions</t>
  </si>
  <si>
    <t>Orion Enterprise Labs</t>
  </si>
  <si>
    <t>Quantum Enterprise Analytics</t>
  </si>
  <si>
    <t>Core Enterprise Technologies</t>
  </si>
  <si>
    <t>Prime Enterprise Analytics</t>
  </si>
  <si>
    <t>Nimbus Enterprise Systems</t>
  </si>
  <si>
    <t>Helix Enterprise Digital</t>
  </si>
  <si>
    <t>Evercore Enterprise Solutions</t>
  </si>
  <si>
    <t>Zenith Enterprise Labs</t>
  </si>
  <si>
    <t>Matrix Enterprise Analytics</t>
  </si>
  <si>
    <t>Crystal Enterprise Systems</t>
  </si>
  <si>
    <t>PrimeWorks Technologies</t>
  </si>
  <si>
    <t>BluePeak Solutions</t>
  </si>
  <si>
    <t>SummitTech Digital</t>
  </si>
  <si>
    <t>VectorWave Technologies</t>
  </si>
  <si>
    <t>CoreLabs Analytics</t>
  </si>
  <si>
    <t>PrimePulse Digital</t>
  </si>
  <si>
    <t>HelixBridge Systems</t>
  </si>
  <si>
    <t>TitanCore Solutions</t>
  </si>
  <si>
    <t>ApexPrime Technologies</t>
  </si>
  <si>
    <t>SignalWave Systems</t>
  </si>
  <si>
    <t>NorthCore Digital</t>
  </si>
  <si>
    <t>VelocityTech Analytics</t>
  </si>
  <si>
    <t>BlueMatrix Solutions</t>
  </si>
  <si>
    <t>NextWave Digital</t>
  </si>
  <si>
    <t>CoreGate Technologies</t>
  </si>
  <si>
    <t>PrimeCloud Systems</t>
  </si>
  <si>
    <t>HorizonLabs Analytics</t>
  </si>
  <si>
    <t>IronMatrix Solutions</t>
  </si>
  <si>
    <t>ZenithLabs Digital</t>
  </si>
  <si>
    <t>PulseCore Technologies</t>
  </si>
  <si>
    <t>MatrixPrime Solutions</t>
  </si>
  <si>
    <t>AstraPrime Digital</t>
  </si>
  <si>
    <t>VertexPrime Systems</t>
  </si>
  <si>
    <t>OrionPrime Analytics</t>
  </si>
  <si>
    <t>CorePrime Technologies</t>
  </si>
  <si>
    <t>SummitPrime Digital</t>
  </si>
  <si>
    <t>VectorPrime Systems</t>
  </si>
  <si>
    <t>TitanPrime Analytics</t>
  </si>
  <si>
    <t>CrystalPrime Technologies</t>
  </si>
  <si>
    <t>BluePrime Digital</t>
  </si>
  <si>
    <t>HelixPrime Systems</t>
  </si>
  <si>
    <t>NorthPrime Analytics</t>
  </si>
  <si>
    <t>PulsePrime Digital</t>
  </si>
  <si>
    <t>AlphaPrime Systems</t>
  </si>
  <si>
    <t>ZenithPrime Analytics</t>
  </si>
  <si>
    <t>PrimeEdge Technologies</t>
  </si>
  <si>
    <t>VectorEdge Systems</t>
  </si>
  <si>
    <t>CoreEdge Digital</t>
  </si>
  <si>
    <t>SummitEdge Analytics</t>
  </si>
  <si>
    <t>TitanEdge Systems</t>
  </si>
  <si>
    <t>NovaEdge Digital</t>
  </si>
  <si>
    <t>ApexEdge Analytics</t>
  </si>
  <si>
    <t>MatrixEdge Systems</t>
  </si>
  <si>
    <t>OrionEdge Digital</t>
  </si>
  <si>
    <t>SignalEdge Analytics</t>
  </si>
  <si>
    <t>BlueEdge Systems</t>
  </si>
  <si>
    <t>PrimeAxis Analytics</t>
  </si>
  <si>
    <t>CoreAxis Solutions</t>
  </si>
  <si>
    <t>VectorAxis Digital</t>
  </si>
  <si>
    <t>TitanAxis Systems</t>
  </si>
  <si>
    <t>PulseAxis Analytics</t>
  </si>
  <si>
    <t>SummitAxis Solutions</t>
  </si>
  <si>
    <t>ZenithAxis Systems</t>
  </si>
  <si>
    <t>Support_Tickets_Count</t>
  </si>
  <si>
    <t>Service_Hours_Consumed</t>
  </si>
  <si>
    <t>Platform_Usage_Index</t>
  </si>
  <si>
    <t>Transactions_Count</t>
  </si>
  <si>
    <t>Metric</t>
  </si>
  <si>
    <t>Value</t>
  </si>
  <si>
    <t>Cost per Support Ticket</t>
  </si>
  <si>
    <t>Cost per Service Hour</t>
  </si>
  <si>
    <t>Infra Cost per Usage Unit</t>
  </si>
  <si>
    <t>Cost per Transaction</t>
  </si>
  <si>
    <t>Cost to serve Parametres</t>
  </si>
  <si>
    <t>Total Overhead Pool</t>
  </si>
  <si>
    <t>Overhead Pool (Company-wide costs)</t>
  </si>
  <si>
    <t>Discount_%</t>
  </si>
  <si>
    <t>Late_Payment_Frequency (last 12 months)</t>
  </si>
  <si>
    <t>Risk Weights (For Later Risk Score)</t>
  </si>
  <si>
    <t>Risk Metric</t>
  </si>
  <si>
    <t>Weight</t>
  </si>
  <si>
    <t>Late Payment Weight</t>
  </si>
  <si>
    <t>Discount Dependency Weight</t>
  </si>
  <si>
    <t>Retention Probability Weight</t>
  </si>
  <si>
    <t>Net_Revenue</t>
  </si>
  <si>
    <t>Support_Cost</t>
  </si>
  <si>
    <t>Service_Cost</t>
  </si>
  <si>
    <t>Infra_Cost</t>
  </si>
  <si>
    <t>Transaction_Cost</t>
  </si>
  <si>
    <t>Direct_Cost_To_Serve</t>
  </si>
  <si>
    <t>Overhead_Allocation</t>
  </si>
  <si>
    <t>Customer_Profit</t>
  </si>
  <si>
    <t>Profit_Margin_%</t>
  </si>
  <si>
    <t>Cost_To_Serve_%</t>
  </si>
  <si>
    <t xml:space="preserve">Revenue Share </t>
  </si>
  <si>
    <t>Revenue overhead allocation</t>
  </si>
  <si>
    <t>Effort Load</t>
  </si>
  <si>
    <t>Effort Share</t>
  </si>
  <si>
    <t>Effort Overhead allocation</t>
  </si>
  <si>
    <t>Total effort load</t>
  </si>
  <si>
    <t xml:space="preserve">GRAND TOTALS </t>
  </si>
  <si>
    <t>Total Overhead Allocation:</t>
  </si>
  <si>
    <t>Total Net Revenue:</t>
  </si>
  <si>
    <t>Total Direct Cost:</t>
  </si>
  <si>
    <t>Total Profit:</t>
  </si>
  <si>
    <t>Revenue_Band</t>
  </si>
  <si>
    <t>Profitability_Band</t>
  </si>
  <si>
    <t>Profitability vs Revenue Matrix</t>
  </si>
  <si>
    <t>Label</t>
  </si>
  <si>
    <t>Cost To Serve Profile</t>
  </si>
  <si>
    <t>Risk Score</t>
  </si>
  <si>
    <t>Late_Payment_Score</t>
  </si>
  <si>
    <t>Discount_Score</t>
  </si>
  <si>
    <t>Retention_Risk_Score</t>
  </si>
  <si>
    <t>Weighted Risk Score</t>
  </si>
  <si>
    <t>#IMPORTANT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</si>
</sst>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[$₹-4009]\ * #,##0_ ;_ [$₹-4009]\ * \-#,##0_ ;_ [$₹-4009]\ * &quot;-&quot;??_ ;_ @_ "/>
    <numFmt numFmtId="165" formatCode="&quot;₹&quot;\ #,##0.00"/>
    <numFmt numFmtId="166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Aptos Display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Aptos Display"/>
      <family val="2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sz val="14"/>
      <color theme="1"/>
      <name val="Arial Rounded MT Bold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0" borderId="9" xfId="0" applyBorder="1"/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164" fontId="5" fillId="0" borderId="9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9" fontId="0" fillId="0" borderId="9" xfId="1" applyFont="1" applyBorder="1"/>
    <xf numFmtId="2" fontId="0" fillId="0" borderId="9" xfId="0" applyNumberFormat="1" applyBorder="1"/>
    <xf numFmtId="0" fontId="9" fillId="0" borderId="9" xfId="0" applyFont="1" applyBorder="1"/>
    <xf numFmtId="165" fontId="0" fillId="0" borderId="9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" fontId="0" fillId="0" borderId="9" xfId="0" applyNumberFormat="1" applyBorder="1"/>
    <xf numFmtId="9" fontId="3" fillId="0" borderId="9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9" fontId="3" fillId="0" borderId="18" xfId="1" applyFont="1" applyBorder="1" applyAlignment="1">
      <alignment horizontal="center"/>
    </xf>
    <xf numFmtId="0" fontId="0" fillId="0" borderId="19" xfId="0" applyBorder="1"/>
    <xf numFmtId="0" fontId="6" fillId="3" borderId="1" xfId="0" applyFont="1" applyFill="1" applyBorder="1" applyAlignment="1">
      <alignment horizontal="center" vertical="center" wrapText="1"/>
    </xf>
    <xf numFmtId="0" fontId="0" fillId="0" borderId="18" xfId="0" applyBorder="1"/>
    <xf numFmtId="0" fontId="3" fillId="0" borderId="27" xfId="0" applyFont="1" applyBorder="1"/>
    <xf numFmtId="0" fontId="2" fillId="3" borderId="1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0" fillId="0" borderId="29" xfId="0" applyBorder="1"/>
    <xf numFmtId="165" fontId="0" fillId="0" borderId="28" xfId="0" applyNumberFormat="1" applyBorder="1" applyAlignment="1">
      <alignment horizontal="center"/>
    </xf>
    <xf numFmtId="166" fontId="0" fillId="0" borderId="28" xfId="0" applyNumberFormat="1" applyBorder="1" applyAlignment="1">
      <alignment horizontal="center"/>
    </xf>
    <xf numFmtId="9" fontId="0" fillId="0" borderId="28" xfId="1" applyFont="1" applyBorder="1" applyAlignment="1">
      <alignment horizontal="center"/>
    </xf>
    <xf numFmtId="9" fontId="3" fillId="0" borderId="28" xfId="1" applyFon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8" fillId="0" borderId="29" xfId="0" applyFont="1" applyBorder="1" applyAlignment="1">
      <alignment horizontal="center"/>
    </xf>
    <xf numFmtId="9" fontId="0" fillId="0" borderId="29" xfId="1" applyFon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9" fontId="0" fillId="0" borderId="31" xfId="1" applyFont="1" applyBorder="1" applyAlignment="1">
      <alignment horizontal="center"/>
    </xf>
    <xf numFmtId="9" fontId="3" fillId="0" borderId="31" xfId="1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8" fillId="0" borderId="18" xfId="0" applyFont="1" applyBorder="1" applyAlignment="1">
      <alignment horizontal="center"/>
    </xf>
    <xf numFmtId="9" fontId="0" fillId="0" borderId="18" xfId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0" xfId="0" applyFill="1"/>
    <xf numFmtId="0" fontId="0" fillId="2" borderId="9" xfId="0" applyFill="1" applyBorder="1" applyAlignment="1">
      <alignment horizontal="center"/>
    </xf>
    <xf numFmtId="0" fontId="2" fillId="3" borderId="33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0" fontId="2" fillId="3" borderId="11" xfId="0" applyFont="1" applyFill="1" applyBorder="1" applyAlignment="1">
      <alignment horizontal="center" vertical="center" wrapText="1"/>
    </xf>
    <xf numFmtId="2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17" fillId="4" borderId="32" xfId="0" applyFont="1" applyFill="1" applyBorder="1" applyAlignment="1">
      <alignment horizontal="center" vertical="center" wrapText="1"/>
    </xf>
    <xf numFmtId="0" fontId="18" fillId="0" borderId="0" xfId="0" applyFont="1"/>
    <xf numFmtId="9" fontId="0" fillId="0" borderId="0" xfId="0" applyNumberFormat="1"/>
    <xf numFmtId="0" fontId="12" fillId="3" borderId="5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165" fontId="3" fillId="0" borderId="23" xfId="0" applyNumberFormat="1" applyFont="1" applyBorder="1" applyAlignment="1">
      <alignment horizontal="center"/>
    </xf>
    <xf numFmtId="166" fontId="14" fillId="0" borderId="23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166" fontId="3" fillId="0" borderId="2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166" fontId="3" fillId="0" borderId="23" xfId="0" applyNumberFormat="1" applyFont="1" applyBorder="1" applyAlignment="1">
      <alignment horizontal="center"/>
    </xf>
    <xf numFmtId="0" fontId="17" fillId="4" borderId="13" xfId="0" applyFont="1" applyFill="1" applyBorder="1" applyAlignment="1">
      <alignment horizontal="center" vertical="center" wrapText="1"/>
    </xf>
    <xf numFmtId="0" fontId="17" fillId="4" borderId="3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30"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  <dxf>
      <fill>
        <patternFill>
          <bgColor rgb="FFFFC7CE"/>
        </patternFill>
      </fill>
    </dxf>
    <dxf>
      <fill>
        <patternFill>
          <fgColor theme="0"/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fgColor theme="0"/>
          <bgColor theme="9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/>
        <i val="0"/>
        <color theme="7" tint="-0.24994659260841701"/>
      </font>
    </dxf>
    <dxf>
      <font>
        <b/>
        <i val="0"/>
        <color theme="8"/>
      </font>
    </dxf>
    <dxf>
      <font>
        <b/>
        <i val="0"/>
        <color rgb="FFFF6699"/>
      </font>
    </dxf>
    <dxf>
      <font>
        <b/>
        <i val="0"/>
        <color theme="0" tint="-0.14996795556505021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  <dxf>
      <font>
        <color rgb="FFFF0000"/>
      </font>
    </dxf>
    <dxf>
      <font>
        <color theme="4" tint="-0.24994659260841701"/>
      </font>
    </dxf>
    <dxf>
      <font>
        <color rgb="FF00B050"/>
      </font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533400</xdr:colOff>
      <xdr:row>0</xdr:row>
      <xdr:rowOff>0</xdr:rowOff>
    </xdr:from>
    <xdr:ext cx="4409122" cy="14020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B8224F-368E-402D-9556-5A9FEE69F25B}"/>
            </a:ext>
          </a:extLst>
        </xdr:cNvPr>
        <xdr:cNvSpPr txBox="1"/>
      </xdr:nvSpPr>
      <xdr:spPr>
        <a:xfrm>
          <a:off x="10005060" y="0"/>
          <a:ext cx="4409122" cy="1402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Purpose of Dataset Assumptions</a:t>
          </a:r>
          <a:endParaRPr lang="en-IN" sz="1400"/>
        </a:p>
        <a:p>
          <a:r>
            <a:rPr lang="en-IN" sz="1400"/>
            <a:t>These assumptions are intentionally designed to create realistic variation in customer economics.</a:t>
          </a:r>
          <a:br>
            <a:rPr lang="en-IN" sz="1400"/>
          </a:br>
          <a:r>
            <a:rPr lang="en-IN" sz="1400"/>
            <a:t>They do not represent any specific company’s financials, but they simulate plausible SaaS business behavior for analysis and decision-making.</a:t>
          </a:r>
        </a:p>
        <a:p>
          <a:endParaRPr lang="en-IN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205482</xdr:colOff>
      <xdr:row>0</xdr:row>
      <xdr:rowOff>0</xdr:rowOff>
    </xdr:from>
    <xdr:ext cx="5288161" cy="140413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E59D4A-CD99-4626-B2B1-153C9DE74DA8}"/>
            </a:ext>
          </a:extLst>
        </xdr:cNvPr>
        <xdr:cNvSpPr txBox="1"/>
      </xdr:nvSpPr>
      <xdr:spPr>
        <a:xfrm>
          <a:off x="10239909" y="0"/>
          <a:ext cx="5288161" cy="14041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Purpose of Dataset Assumptions</a:t>
          </a:r>
          <a:endParaRPr lang="en-IN" sz="1400"/>
        </a:p>
        <a:p>
          <a:r>
            <a:rPr lang="en-IN" sz="1400"/>
            <a:t>These assumptions are intentionally designed to create realistic variation in customer economics.</a:t>
          </a:r>
          <a:br>
            <a:rPr lang="en-IN" sz="1400"/>
          </a:br>
          <a:r>
            <a:rPr lang="en-IN" sz="1400"/>
            <a:t>They do not represent any specific company’s financials, but they simulate plausible SaaS business behavior for analysis and decision-making.</a:t>
          </a:r>
        </a:p>
        <a:p>
          <a:endParaRPr lang="en-IN" sz="12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441960</xdr:colOff>
      <xdr:row>0</xdr:row>
      <xdr:rowOff>0</xdr:rowOff>
    </xdr:from>
    <xdr:ext cx="5288161" cy="140413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955EFF-1EEC-459A-BBE8-A4272C1E5DD3}"/>
            </a:ext>
          </a:extLst>
        </xdr:cNvPr>
        <xdr:cNvSpPr txBox="1"/>
      </xdr:nvSpPr>
      <xdr:spPr>
        <a:xfrm>
          <a:off x="8808720" y="0"/>
          <a:ext cx="5288161" cy="14041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 b="1"/>
            <a:t>Purpose of Dataset Assumptions</a:t>
          </a:r>
          <a:endParaRPr lang="en-IN" sz="1400"/>
        </a:p>
        <a:p>
          <a:r>
            <a:rPr lang="en-IN" sz="1400"/>
            <a:t>These assumptions are intentionally designed to create realistic variation in customer economics.</a:t>
          </a:r>
          <a:br>
            <a:rPr lang="en-IN" sz="1400"/>
          </a:br>
          <a:r>
            <a:rPr lang="en-IN" sz="1400"/>
            <a:t>They do not represent any specific company’s financials, but they simulate plausible SaaS business behavior for analysis and decision-making.</a:t>
          </a:r>
        </a:p>
        <a:p>
          <a:endParaRPr lang="en-IN" sz="12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1684020</xdr:colOff>
      <xdr:row>9</xdr:row>
      <xdr:rowOff>106680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9727B0-A559-3157-7102-72A714B80884}"/>
            </a:ext>
          </a:extLst>
        </xdr:cNvPr>
        <xdr:cNvSpPr txBox="1"/>
      </xdr:nvSpPr>
      <xdr:spPr>
        <a:xfrm>
          <a:off x="1684020" y="4495800"/>
          <a:ext cx="184731" cy="264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11</xdr:col>
      <xdr:colOff>75140</xdr:colOff>
      <xdr:row>5</xdr:row>
      <xdr:rowOff>110763</xdr:rowOff>
    </xdr:from>
    <xdr:ext cx="4975860" cy="629271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FB9A23B-415E-5173-4DC4-6B0AD1085BBE}"/>
            </a:ext>
          </a:extLst>
        </xdr:cNvPr>
        <xdr:cNvSpPr txBox="1"/>
      </xdr:nvSpPr>
      <xdr:spPr>
        <a:xfrm>
          <a:off x="16063772" y="1046552"/>
          <a:ext cx="4975860" cy="629271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200" b="1"/>
            <a:t>1️⃣ Profitability vs Revenue Matrix</a:t>
          </a:r>
          <a:endParaRPr lang="en-IN" sz="1200"/>
        </a:p>
        <a:p>
          <a:r>
            <a:rPr lang="en-IN" sz="1200"/>
            <a:t>Low Revenue = Net Revenue &lt; Median</a:t>
          </a:r>
          <a:br>
            <a:rPr lang="en-IN" sz="1200"/>
          </a:br>
          <a:r>
            <a:rPr lang="en-IN" sz="1200"/>
            <a:t>High Revenue = Net Revenue ≥ Median</a:t>
          </a:r>
        </a:p>
        <a:p>
          <a:r>
            <a:rPr lang="en-IN" sz="1200"/>
            <a:t>High Profit = Profit Margin ≥ 25%</a:t>
          </a:r>
        </a:p>
        <a:p>
          <a:r>
            <a:rPr lang="en-IN" sz="1200"/>
            <a:t>Low Profit = Profit Margin &lt; 25%</a:t>
          </a:r>
          <a:br>
            <a:rPr lang="en-IN" sz="1200"/>
          </a:br>
          <a:endParaRPr lang="en-IN" sz="1200"/>
        </a:p>
        <a:p>
          <a:r>
            <a:rPr lang="en-IN" sz="1200" b="1"/>
            <a:t>Quadrants</a:t>
          </a:r>
          <a:endParaRPr lang="en-IN" sz="1200"/>
        </a:p>
        <a:p>
          <a:r>
            <a:rPr lang="en-IN" sz="1200"/>
            <a:t>High Rev + High Profit → </a:t>
          </a:r>
          <a:r>
            <a:rPr lang="en-IN" sz="1200" b="1"/>
            <a:t>Strategic Gold</a:t>
          </a:r>
          <a:endParaRPr lang="en-IN" sz="1200"/>
        </a:p>
        <a:p>
          <a:r>
            <a:rPr lang="en-IN" sz="1200"/>
            <a:t>High Rev + Low Profit → </a:t>
          </a:r>
          <a:r>
            <a:rPr lang="en-IN" sz="1200" b="1"/>
            <a:t>Margin Diluters</a:t>
          </a:r>
          <a:endParaRPr lang="en-IN" sz="1200"/>
        </a:p>
        <a:p>
          <a:r>
            <a:rPr lang="en-IN" sz="1200"/>
            <a:t>Low Rev + High Profit → </a:t>
          </a:r>
          <a:r>
            <a:rPr lang="en-IN" sz="1200" b="1"/>
            <a:t>Hidden Gems</a:t>
          </a:r>
          <a:endParaRPr lang="en-IN" sz="1200"/>
        </a:p>
        <a:p>
          <a:r>
            <a:rPr lang="en-IN" sz="1200"/>
            <a:t>Low Rev + Low Profit → </a:t>
          </a:r>
          <a:r>
            <a:rPr lang="en-IN" sz="1200" b="1"/>
            <a:t>Value Destroyers</a:t>
          </a:r>
          <a:endParaRPr lang="en-IN" sz="1200"/>
        </a:p>
        <a:p>
          <a:br>
            <a:rPr lang="en-IN" sz="1200"/>
          </a:br>
          <a:endParaRPr lang="en-IN" sz="1200"/>
        </a:p>
        <a:p>
          <a:r>
            <a:rPr lang="en-IN" sz="1200" b="1"/>
            <a:t>2️⃣ Cost to Serve Profile</a:t>
          </a:r>
          <a:endParaRPr lang="en-IN" sz="1200"/>
        </a:p>
        <a:p>
          <a:r>
            <a:rPr lang="en-IN" sz="1200"/>
            <a:t>Low Cost → Cost_to_Serve% &lt; 40%</a:t>
          </a:r>
        </a:p>
        <a:p>
          <a:r>
            <a:rPr lang="en-IN" sz="1200"/>
            <a:t>Medium Cost → 40% to 70%</a:t>
          </a:r>
        </a:p>
        <a:p>
          <a:r>
            <a:rPr lang="en-IN" sz="1200"/>
            <a:t>High Cost → &gt; 70%</a:t>
          </a:r>
        </a:p>
        <a:p>
          <a:br>
            <a:rPr lang="en-IN" sz="1200"/>
          </a:br>
          <a:endParaRPr lang="en-IN" sz="1200"/>
        </a:p>
        <a:p>
          <a:r>
            <a:rPr lang="en-IN" sz="1200" b="1"/>
            <a:t>3️⃣ Risk Score Weights Used</a:t>
          </a:r>
          <a:br>
            <a:rPr lang="en-IN" sz="1200"/>
          </a:br>
          <a:r>
            <a:rPr lang="en-IN" sz="1200"/>
            <a:t>Weighted Risk Score =</a:t>
          </a:r>
        </a:p>
        <a:p>
          <a:pPr rtl="0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0.4 × Late Payment Score  + 0.3 × Discount Dependency Score  </a:t>
          </a:r>
        </a:p>
        <a:p>
          <a:pPr rtl="0"/>
          <a:r>
            <a:rPr lang="en-IN" sz="1200">
              <a:solidFill>
                <a:schemeClr val="tx1"/>
              </a:solidFill>
              <a:latin typeface="+mn-lt"/>
              <a:ea typeface="+mn-ea"/>
              <a:cs typeface="+mn-cs"/>
            </a:rPr>
            <a:t>+ 0.3 × Retention Risk Score</a:t>
          </a:r>
        </a:p>
        <a:p>
          <a:r>
            <a:rPr lang="en-IN" sz="1200"/>
            <a:t>Where:</a:t>
          </a:r>
        </a:p>
        <a:p>
          <a:r>
            <a:rPr lang="en-IN" sz="1200"/>
            <a:t>Late Payment Score = Normalized based on highest frequency</a:t>
          </a:r>
        </a:p>
        <a:p>
          <a:r>
            <a:rPr lang="en-IN" sz="1200"/>
            <a:t>Discount Score = Discount %</a:t>
          </a:r>
        </a:p>
        <a:p>
          <a:r>
            <a:rPr lang="en-IN" sz="1200"/>
            <a:t>Retention Risk = (1 − Retention Probability)</a:t>
          </a:r>
        </a:p>
        <a:p>
          <a:endParaRPr lang="en-IN" sz="1200"/>
        </a:p>
        <a:p>
          <a:r>
            <a:rPr lang="en-IN" sz="1200" b="1" u="sng"/>
            <a:t>Risk Classification</a:t>
          </a:r>
          <a:endParaRPr lang="en-IN" sz="1200" u="sng"/>
        </a:p>
        <a:p>
          <a:r>
            <a:rPr lang="en-IN" sz="1200"/>
            <a:t>Low Risk → &lt; 0.35</a:t>
          </a:r>
        </a:p>
        <a:p>
          <a:r>
            <a:rPr lang="en-IN" sz="1200"/>
            <a:t>Medium Risk → 0.35 to 0.65</a:t>
          </a:r>
        </a:p>
        <a:p>
          <a:r>
            <a:rPr lang="en-IN" sz="1200"/>
            <a:t>High Risk → &gt; 0.65</a:t>
          </a:r>
        </a:p>
        <a:p>
          <a:endParaRPr lang="en-IN" sz="1200"/>
        </a:p>
      </xdr:txBody>
    </xdr:sp>
    <xdr:clientData/>
  </xdr:oneCellAnchor>
  <xdr:oneCellAnchor>
    <xdr:from>
      <xdr:col>6</xdr:col>
      <xdr:colOff>1945443</xdr:colOff>
      <xdr:row>15</xdr:row>
      <xdr:rowOff>11723</xdr:rowOff>
    </xdr:from>
    <xdr:ext cx="2509326" cy="11125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94CB9DD-98E4-BE86-2AE0-18207DB628A6}"/>
            </a:ext>
          </a:extLst>
        </xdr:cNvPr>
        <xdr:cNvSpPr txBox="1"/>
      </xdr:nvSpPr>
      <xdr:spPr>
        <a:xfrm>
          <a:off x="11230120" y="2825261"/>
          <a:ext cx="2509326" cy="11125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Tenure_Months</a:t>
          </a:r>
          <a:r>
            <a:rPr lang="en-IN" sz="1600" u="sng">
              <a:effectLst/>
            </a:rPr>
            <a:t> </a:t>
          </a:r>
          <a:br>
            <a:rPr lang="en-IN" sz="12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 to 48 months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 to 60 months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12 to 72 months</a:t>
          </a:r>
          <a:r>
            <a:rPr lang="en-IN" sz="1400">
              <a:effectLst/>
            </a:rPr>
            <a:t> </a:t>
          </a:r>
          <a:endParaRPr lang="en-IN" sz="1200"/>
        </a:p>
      </xdr:txBody>
    </xdr:sp>
    <xdr:clientData/>
  </xdr:oneCellAnchor>
  <xdr:oneCellAnchor>
    <xdr:from>
      <xdr:col>2</xdr:col>
      <xdr:colOff>1406181</xdr:colOff>
      <xdr:row>19</xdr:row>
      <xdr:rowOff>171743</xdr:rowOff>
    </xdr:from>
    <xdr:ext cx="2099018" cy="111252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457BA57-A7BF-47F2-9344-625723B84B3D}"/>
            </a:ext>
          </a:extLst>
        </xdr:cNvPr>
        <xdr:cNvSpPr txBox="1"/>
      </xdr:nvSpPr>
      <xdr:spPr>
        <a:xfrm>
          <a:off x="4266612" y="3735558"/>
          <a:ext cx="2099018" cy="11125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Number_of_Users</a:t>
          </a:r>
          <a:r>
            <a:rPr lang="en-IN" sz="1600" u="sng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5–80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50–400</a:t>
          </a:r>
          <a:b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300–2000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6</xdr:col>
      <xdr:colOff>1930791</xdr:colOff>
      <xdr:row>22</xdr:row>
      <xdr:rowOff>3517</xdr:rowOff>
    </xdr:from>
    <xdr:ext cx="2286000" cy="11430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A18E2C-3016-4461-A15D-D5E67432214C}"/>
            </a:ext>
          </a:extLst>
        </xdr:cNvPr>
        <xdr:cNvSpPr txBox="1"/>
      </xdr:nvSpPr>
      <xdr:spPr>
        <a:xfrm>
          <a:off x="11215468" y="4130040"/>
          <a:ext cx="2286000" cy="1143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Support_Tickets_Count</a:t>
          </a:r>
          <a:r>
            <a:rPr lang="en-IN" sz="24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5 to 40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 → 15 to 80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40 to 250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2645898</xdr:colOff>
      <xdr:row>5</xdr:row>
      <xdr:rowOff>148882</xdr:rowOff>
    </xdr:from>
    <xdr:ext cx="3276600" cy="15468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4D0CE2-9DD4-433D-8AC1-A69F7D3AA85C}"/>
            </a:ext>
          </a:extLst>
        </xdr:cNvPr>
        <xdr:cNvSpPr txBox="1"/>
      </xdr:nvSpPr>
      <xdr:spPr>
        <a:xfrm>
          <a:off x="8308144" y="1086728"/>
          <a:ext cx="3276600" cy="1546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Transactions_Count</a:t>
          </a:r>
          <a:br>
            <a:rPr lang="en-IN" sz="11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Represents billing usage, activity requests, internal handling load.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20 to 100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100 to 600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500 to 3500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1465384</xdr:colOff>
      <xdr:row>5</xdr:row>
      <xdr:rowOff>152400</xdr:rowOff>
    </xdr:from>
    <xdr:ext cx="3470030" cy="110196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0FC6D91-632F-417D-B4C4-4AEBB51009F5}"/>
            </a:ext>
          </a:extLst>
        </xdr:cNvPr>
        <xdr:cNvSpPr txBox="1"/>
      </xdr:nvSpPr>
      <xdr:spPr>
        <a:xfrm>
          <a:off x="1465384" y="1090246"/>
          <a:ext cx="3470030" cy="110196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Annual_Subscription_Revenue (INR)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₹1,20,000 to ₹6,00,000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₹6,00,000 to ₹25,00,000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₹25,00,000 to ₹1,50,00,000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2426678</xdr:colOff>
      <xdr:row>26</xdr:row>
      <xdr:rowOff>11723</xdr:rowOff>
    </xdr:from>
    <xdr:ext cx="3024554" cy="15468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184BB68-DC0A-4B4C-A27C-B77B13F86CF8}"/>
            </a:ext>
          </a:extLst>
        </xdr:cNvPr>
        <xdr:cNvSpPr txBox="1"/>
      </xdr:nvSpPr>
      <xdr:spPr>
        <a:xfrm>
          <a:off x="8088924" y="4888523"/>
          <a:ext cx="3024554" cy="15468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Platform_Usage_Index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Proxy for resource consumption on infrastructure.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20 to 100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80 to 400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300 to 2000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1781908</xdr:colOff>
      <xdr:row>16</xdr:row>
      <xdr:rowOff>140676</xdr:rowOff>
    </xdr:from>
    <xdr:ext cx="2332892" cy="111369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AF964A-8AF9-426C-B41E-7EB6737BD766}"/>
            </a:ext>
          </a:extLst>
        </xdr:cNvPr>
        <xdr:cNvSpPr txBox="1"/>
      </xdr:nvSpPr>
      <xdr:spPr>
        <a:xfrm>
          <a:off x="1781908" y="3141784"/>
          <a:ext cx="2332892" cy="111369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Retention_Probability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0.50–0.85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0.70–0.90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0.75–0.97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6</xdr:col>
      <xdr:colOff>1992922</xdr:colOff>
      <xdr:row>29</xdr:row>
      <xdr:rowOff>4102</xdr:rowOff>
    </xdr:from>
    <xdr:ext cx="4079631" cy="171919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EEC78C1-EC11-4B48-9723-EB35C7D3F74C}"/>
            </a:ext>
          </a:extLst>
        </xdr:cNvPr>
        <xdr:cNvSpPr txBox="1"/>
      </xdr:nvSpPr>
      <xdr:spPr>
        <a:xfrm>
          <a:off x="11277599" y="5443610"/>
          <a:ext cx="4079631" cy="17191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Late_Payment_Frequency (last 12 months)</a:t>
          </a:r>
          <a:r>
            <a:rPr lang="en-IN" sz="1600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/>
            <a:t>Business Reality: Large customers often negotiate hard and may delay payments, impacting cash flow discipline.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0–5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0–4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0–6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4</xdr:col>
      <xdr:colOff>2790094</xdr:colOff>
      <xdr:row>17</xdr:row>
      <xdr:rowOff>187568</xdr:rowOff>
    </xdr:from>
    <xdr:ext cx="2649414" cy="114886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ACD9D46-29E4-4A40-BBF9-2BC05558DD13}"/>
            </a:ext>
          </a:extLst>
        </xdr:cNvPr>
        <xdr:cNvSpPr txBox="1"/>
      </xdr:nvSpPr>
      <xdr:spPr>
        <a:xfrm>
          <a:off x="8452340" y="3376245"/>
          <a:ext cx="2649414" cy="114886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Service_Hours_Consumed</a:t>
          </a:r>
          <a:r>
            <a:rPr lang="en-IN" sz="1600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 → 10 to 120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Mid-Market→ 50 to 300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 → 200 to 1200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2</xdr:col>
      <xdr:colOff>1430216</xdr:colOff>
      <xdr:row>12</xdr:row>
      <xdr:rowOff>175844</xdr:rowOff>
    </xdr:from>
    <xdr:ext cx="2051538" cy="1078524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6B839DC-9F35-424F-8F15-08DB83111A2B}"/>
            </a:ext>
          </a:extLst>
        </xdr:cNvPr>
        <xdr:cNvSpPr txBox="1"/>
      </xdr:nvSpPr>
      <xdr:spPr>
        <a:xfrm>
          <a:off x="4290647" y="2426675"/>
          <a:ext cx="2051538" cy="107852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IN" sz="1600" b="1" i="0" u="sng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Discount_%</a:t>
          </a:r>
          <a:r>
            <a:rPr lang="en-IN" sz="1600" u="sng">
              <a:effectLst/>
            </a:rPr>
            <a:t> </a:t>
          </a:r>
          <a:br>
            <a:rPr lang="en-IN" sz="16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SMB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0–10%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Mid-Market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0–20%</a:t>
          </a:r>
          <a:r>
            <a:rPr lang="en-IN" sz="1400">
              <a:effectLst/>
            </a:rPr>
            <a:t> </a:t>
          </a:r>
          <a:br>
            <a:rPr lang="en-IN" sz="1400">
              <a:effectLst/>
            </a:rPr>
          </a:b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Enterprise</a:t>
          </a:r>
          <a:r>
            <a:rPr lang="en-IN" sz="1400"/>
            <a:t>→</a:t>
          </a:r>
          <a:r>
            <a:rPr lang="en-IN" sz="14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10–35%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oneCellAnchor>
  <xdr:oneCellAnchor>
    <xdr:from>
      <xdr:col>0</xdr:col>
      <xdr:colOff>1066800</xdr:colOff>
      <xdr:row>0</xdr:row>
      <xdr:rowOff>175845</xdr:rowOff>
    </xdr:from>
    <xdr:ext cx="5873262" cy="4680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64AAF2D-6863-A641-A6BA-0381128CD6E2}"/>
            </a:ext>
          </a:extLst>
        </xdr:cNvPr>
        <xdr:cNvSpPr txBox="1"/>
      </xdr:nvSpPr>
      <xdr:spPr>
        <a:xfrm>
          <a:off x="1066800" y="175845"/>
          <a:ext cx="5873262" cy="4680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/>
            <a:t>Customer_Master</a:t>
          </a:r>
          <a:r>
            <a:rPr lang="en-IN" sz="2400" b="1" baseline="0"/>
            <a:t> </a:t>
          </a:r>
          <a:r>
            <a:rPr lang="en-IN" sz="2400" b="1"/>
            <a:t>Data Design Assumptions</a:t>
          </a:r>
        </a:p>
      </xdr:txBody>
    </xdr:sp>
    <xdr:clientData/>
  </xdr:oneCellAnchor>
  <xdr:oneCellAnchor>
    <xdr:from>
      <xdr:col>4</xdr:col>
      <xdr:colOff>2192216</xdr:colOff>
      <xdr:row>0</xdr:row>
      <xdr:rowOff>152399</xdr:rowOff>
    </xdr:from>
    <xdr:ext cx="5709138" cy="46801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16EA085-6289-421B-BBD1-467C86A2683E}"/>
            </a:ext>
          </a:extLst>
        </xdr:cNvPr>
        <xdr:cNvSpPr txBox="1"/>
      </xdr:nvSpPr>
      <xdr:spPr>
        <a:xfrm>
          <a:off x="7854462" y="152399"/>
          <a:ext cx="5709138" cy="468013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IN" sz="2400" b="1"/>
            <a:t>Cost_Drivers Design Assumptions</a:t>
          </a:r>
          <a:endParaRPr lang="en-IN" sz="2400"/>
        </a:p>
      </xdr:txBody>
    </xdr:sp>
    <xdr:clientData/>
  </xdr:oneCellAnchor>
  <xdr:oneCellAnchor>
    <xdr:from>
      <xdr:col>0</xdr:col>
      <xdr:colOff>0</xdr:colOff>
      <xdr:row>33</xdr:row>
      <xdr:rowOff>23446</xdr:rowOff>
    </xdr:from>
    <xdr:ext cx="6307015" cy="185224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89961DC-FF43-C161-4379-03D787D0AA9C}"/>
            </a:ext>
          </a:extLst>
        </xdr:cNvPr>
        <xdr:cNvSpPr txBox="1"/>
      </xdr:nvSpPr>
      <xdr:spPr>
        <a:xfrm>
          <a:off x="0" y="6353908"/>
          <a:ext cx="6307015" cy="1852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 b="1"/>
            <a:t>Purpose of Dataset Assumptions</a:t>
          </a:r>
          <a:endParaRPr lang="en-IN" sz="1800"/>
        </a:p>
        <a:p>
          <a:r>
            <a:rPr lang="en-IN" sz="1800"/>
            <a:t>These assumptions are intentionally designed to create realistic variation in customer economics.</a:t>
          </a:r>
          <a:br>
            <a:rPr lang="en-IN" sz="1800"/>
          </a:br>
          <a:r>
            <a:rPr lang="en-IN" sz="1800"/>
            <a:t>They do not represent any specific company’s financials, but they simulate plausible SaaS business behavior for analysis and decision-making.</a:t>
          </a:r>
        </a:p>
        <a:p>
          <a:endParaRPr lang="en-IN" sz="1600"/>
        </a:p>
      </xdr:txBody>
    </xdr:sp>
    <xdr:clientData/>
  </xdr:oneCellAnchor>
  <xdr:oneCellAnchor>
    <xdr:from>
      <xdr:col>11</xdr:col>
      <xdr:colOff>53472</xdr:colOff>
      <xdr:row>0</xdr:row>
      <xdr:rowOff>152801</xdr:rowOff>
    </xdr:from>
    <xdr:ext cx="5414212" cy="53473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70FFC8C-8584-F776-04C6-927E45F19175}"/>
            </a:ext>
          </a:extLst>
        </xdr:cNvPr>
        <xdr:cNvSpPr txBox="1"/>
      </xdr:nvSpPr>
      <xdr:spPr>
        <a:xfrm>
          <a:off x="16042104" y="152801"/>
          <a:ext cx="5414212" cy="534738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Segmentation Logic &amp; Weight References</a:t>
          </a:r>
          <a:endParaRPr lang="en-IN" sz="2400">
            <a:effectLst/>
          </a:endParaRPr>
        </a:p>
        <a:p>
          <a:endParaRPr lang="en-IN" sz="28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D16A-31D3-40D2-A791-BD0F8B69B83E}">
  <dimension ref="A1:J251"/>
  <sheetViews>
    <sheetView showGridLines="0" zoomScaleNormal="100" workbookViewId="0">
      <pane xSplit="10" ySplit="13" topLeftCell="K14" activePane="bottomRight" state="frozen"/>
      <selection pane="topRight" activeCell="K1" sqref="K1"/>
      <selection pane="bottomLeft" activeCell="A14" sqref="A14"/>
      <selection pane="bottomRight" activeCell="K14" sqref="K14"/>
    </sheetView>
  </sheetViews>
  <sheetFormatPr defaultRowHeight="14.4" x14ac:dyDescent="0.3"/>
  <cols>
    <col min="1" max="1" width="10.33203125" customWidth="1"/>
    <col min="2" max="2" width="22.33203125" bestFit="1" customWidth="1"/>
    <col min="3" max="3" width="11.88671875" customWidth="1"/>
    <col min="4" max="4" width="14" bestFit="1" customWidth="1"/>
    <col min="5" max="5" width="13" bestFit="1" customWidth="1"/>
    <col min="6" max="6" width="9.88671875" customWidth="1"/>
    <col min="7" max="7" width="21.5546875" customWidth="1"/>
    <col min="8" max="8" width="9.77734375" customWidth="1"/>
    <col min="9" max="9" width="13" customWidth="1"/>
    <col min="10" max="10" width="12.33203125" customWidth="1"/>
    <col min="11" max="11" width="101.21875" customWidth="1"/>
    <col min="12" max="12" width="18.5546875" bestFit="1" customWidth="1"/>
    <col min="13" max="13" width="22.21875" bestFit="1" customWidth="1"/>
    <col min="15" max="16" width="8.88671875" customWidth="1"/>
  </cols>
  <sheetData>
    <row r="1" spans="1:10" s="2" customFormat="1" ht="27.6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272</v>
      </c>
      <c r="H1" s="28" t="s">
        <v>533</v>
      </c>
      <c r="I1" s="28" t="s">
        <v>6</v>
      </c>
      <c r="J1" s="28" t="s">
        <v>7</v>
      </c>
    </row>
    <row r="2" spans="1:10" x14ac:dyDescent="0.3">
      <c r="A2" s="7" t="s">
        <v>8</v>
      </c>
      <c r="B2" s="7" t="s">
        <v>273</v>
      </c>
      <c r="C2" s="7" t="s">
        <v>258</v>
      </c>
      <c r="D2" s="7" t="s">
        <v>263</v>
      </c>
      <c r="E2" s="7" t="s">
        <v>266</v>
      </c>
      <c r="F2" s="7">
        <v>3</v>
      </c>
      <c r="G2" s="19">
        <v>212136</v>
      </c>
      <c r="H2" s="15">
        <v>0.02</v>
      </c>
      <c r="I2" s="7">
        <v>52</v>
      </c>
      <c r="J2" s="16">
        <v>0.66674392505488411</v>
      </c>
    </row>
    <row r="3" spans="1:10" x14ac:dyDescent="0.3">
      <c r="A3" s="7" t="s">
        <v>9</v>
      </c>
      <c r="B3" s="7" t="s">
        <v>274</v>
      </c>
      <c r="C3" s="7" t="s">
        <v>260</v>
      </c>
      <c r="D3" s="7" t="s">
        <v>268</v>
      </c>
      <c r="E3" s="7" t="s">
        <v>266</v>
      </c>
      <c r="F3" s="7">
        <v>44</v>
      </c>
      <c r="G3" s="19">
        <v>9965479</v>
      </c>
      <c r="H3" s="15">
        <v>0.33</v>
      </c>
      <c r="I3" s="7">
        <v>1240</v>
      </c>
      <c r="J3" s="16">
        <v>0.93255925973405218</v>
      </c>
    </row>
    <row r="4" spans="1:10" x14ac:dyDescent="0.3">
      <c r="A4" s="7" t="s">
        <v>10</v>
      </c>
      <c r="B4" s="7" t="s">
        <v>275</v>
      </c>
      <c r="C4" s="7" t="s">
        <v>258</v>
      </c>
      <c r="D4" s="7" t="s">
        <v>271</v>
      </c>
      <c r="E4" s="7" t="s">
        <v>269</v>
      </c>
      <c r="F4" s="7">
        <v>43</v>
      </c>
      <c r="G4" s="19">
        <v>581169</v>
      </c>
      <c r="H4" s="15">
        <v>0.04</v>
      </c>
      <c r="I4" s="7">
        <v>12</v>
      </c>
      <c r="J4" s="16">
        <v>0.59785040581145577</v>
      </c>
    </row>
    <row r="5" spans="1:10" x14ac:dyDescent="0.3">
      <c r="A5" s="7" t="s">
        <v>11</v>
      </c>
      <c r="B5" s="7" t="s">
        <v>276</v>
      </c>
      <c r="C5" s="7" t="s">
        <v>259</v>
      </c>
      <c r="D5" s="7" t="s">
        <v>265</v>
      </c>
      <c r="E5" s="7" t="s">
        <v>267</v>
      </c>
      <c r="F5" s="7">
        <v>42</v>
      </c>
      <c r="G5" s="19">
        <v>1146325</v>
      </c>
      <c r="H5" s="15">
        <v>0.2</v>
      </c>
      <c r="I5" s="7">
        <v>102</v>
      </c>
      <c r="J5" s="16">
        <v>0.81224948793688179</v>
      </c>
    </row>
    <row r="6" spans="1:10" x14ac:dyDescent="0.3">
      <c r="A6" s="7" t="s">
        <v>12</v>
      </c>
      <c r="B6" s="7" t="s">
        <v>277</v>
      </c>
      <c r="C6" s="7" t="s">
        <v>260</v>
      </c>
      <c r="D6" s="7" t="s">
        <v>268</v>
      </c>
      <c r="E6" s="7" t="s">
        <v>264</v>
      </c>
      <c r="F6" s="7">
        <v>70</v>
      </c>
      <c r="G6" s="19">
        <v>6065902</v>
      </c>
      <c r="H6" s="15">
        <v>0.27</v>
      </c>
      <c r="I6" s="7">
        <v>788</v>
      </c>
      <c r="J6" s="16">
        <v>0.87367592833013463</v>
      </c>
    </row>
    <row r="7" spans="1:10" x14ac:dyDescent="0.3">
      <c r="A7" s="7" t="s">
        <v>13</v>
      </c>
      <c r="B7" s="7" t="s">
        <v>278</v>
      </c>
      <c r="C7" s="7" t="s">
        <v>258</v>
      </c>
      <c r="D7" s="7" t="s">
        <v>265</v>
      </c>
      <c r="E7" s="7" t="s">
        <v>269</v>
      </c>
      <c r="F7" s="7">
        <v>29</v>
      </c>
      <c r="G7" s="19">
        <v>507912</v>
      </c>
      <c r="H7" s="15">
        <v>0.09</v>
      </c>
      <c r="I7" s="7">
        <v>76</v>
      </c>
      <c r="J7" s="16">
        <v>0.52766648349746947</v>
      </c>
    </row>
    <row r="8" spans="1:10" x14ac:dyDescent="0.3">
      <c r="A8" s="7" t="s">
        <v>14</v>
      </c>
      <c r="B8" s="7" t="s">
        <v>279</v>
      </c>
      <c r="C8" s="7" t="s">
        <v>260</v>
      </c>
      <c r="D8" s="7" t="s">
        <v>263</v>
      </c>
      <c r="E8" s="7" t="s">
        <v>266</v>
      </c>
      <c r="F8" s="7">
        <v>17</v>
      </c>
      <c r="G8" s="19">
        <v>4094765</v>
      </c>
      <c r="H8" s="15">
        <v>0.25</v>
      </c>
      <c r="I8" s="7">
        <v>1047</v>
      </c>
      <c r="J8" s="16">
        <v>0.90203823943095118</v>
      </c>
    </row>
    <row r="9" spans="1:10" x14ac:dyDescent="0.3">
      <c r="A9" s="7" t="s">
        <v>15</v>
      </c>
      <c r="B9" s="7" t="s">
        <v>280</v>
      </c>
      <c r="C9" s="7" t="s">
        <v>258</v>
      </c>
      <c r="D9" s="7" t="s">
        <v>261</v>
      </c>
      <c r="E9" s="7" t="s">
        <v>266</v>
      </c>
      <c r="F9" s="7">
        <v>26</v>
      </c>
      <c r="G9" s="19">
        <v>179887</v>
      </c>
      <c r="H9" s="15">
        <v>0.09</v>
      </c>
      <c r="I9" s="7">
        <v>12</v>
      </c>
      <c r="J9" s="16">
        <v>0.54880568233805627</v>
      </c>
    </row>
    <row r="10" spans="1:10" x14ac:dyDescent="0.3">
      <c r="A10" s="7" t="s">
        <v>16</v>
      </c>
      <c r="B10" s="7" t="s">
        <v>281</v>
      </c>
      <c r="C10" s="7" t="s">
        <v>260</v>
      </c>
      <c r="D10" s="7" t="s">
        <v>271</v>
      </c>
      <c r="E10" s="7" t="s">
        <v>269</v>
      </c>
      <c r="F10" s="7">
        <v>14</v>
      </c>
      <c r="G10" s="19">
        <v>8768531</v>
      </c>
      <c r="H10" s="15">
        <v>0.21</v>
      </c>
      <c r="I10" s="7">
        <v>1928</v>
      </c>
      <c r="J10" s="16">
        <v>0.89458134824686564</v>
      </c>
    </row>
    <row r="11" spans="1:10" x14ac:dyDescent="0.3">
      <c r="A11" s="7" t="s">
        <v>17</v>
      </c>
      <c r="B11" s="7" t="s">
        <v>282</v>
      </c>
      <c r="C11" s="7" t="s">
        <v>259</v>
      </c>
      <c r="D11" s="7" t="s">
        <v>265</v>
      </c>
      <c r="E11" s="7" t="s">
        <v>264</v>
      </c>
      <c r="F11" s="7">
        <v>25</v>
      </c>
      <c r="G11" s="19">
        <v>1210843</v>
      </c>
      <c r="H11" s="15">
        <v>0.13</v>
      </c>
      <c r="I11" s="7">
        <v>187</v>
      </c>
      <c r="J11" s="16">
        <v>0.7210465482548678</v>
      </c>
    </row>
    <row r="12" spans="1:10" x14ac:dyDescent="0.3">
      <c r="A12" s="7" t="s">
        <v>18</v>
      </c>
      <c r="B12" s="7" t="s">
        <v>283</v>
      </c>
      <c r="C12" s="7" t="s">
        <v>259</v>
      </c>
      <c r="D12" s="7" t="s">
        <v>268</v>
      </c>
      <c r="E12" s="7" t="s">
        <v>266</v>
      </c>
      <c r="F12" s="7">
        <v>33</v>
      </c>
      <c r="G12" s="19">
        <v>1046258</v>
      </c>
      <c r="H12" s="15">
        <v>0.13</v>
      </c>
      <c r="I12" s="7">
        <v>190</v>
      </c>
      <c r="J12" s="16">
        <v>0.70544264523518263</v>
      </c>
    </row>
    <row r="13" spans="1:10" x14ac:dyDescent="0.3">
      <c r="A13" s="7" t="s">
        <v>19</v>
      </c>
      <c r="B13" s="7" t="s">
        <v>284</v>
      </c>
      <c r="C13" s="7" t="s">
        <v>258</v>
      </c>
      <c r="D13" s="7" t="s">
        <v>268</v>
      </c>
      <c r="E13" s="7" t="s">
        <v>266</v>
      </c>
      <c r="F13" s="7">
        <v>21</v>
      </c>
      <c r="G13" s="19">
        <v>190389</v>
      </c>
      <c r="H13" s="15">
        <v>0.05</v>
      </c>
      <c r="I13" s="7">
        <v>69</v>
      </c>
      <c r="J13" s="16">
        <v>0.57635339430953281</v>
      </c>
    </row>
    <row r="14" spans="1:10" x14ac:dyDescent="0.3">
      <c r="A14" s="7" t="s">
        <v>20</v>
      </c>
      <c r="B14" s="7" t="s">
        <v>285</v>
      </c>
      <c r="C14" s="7" t="s">
        <v>258</v>
      </c>
      <c r="D14" s="7" t="s">
        <v>265</v>
      </c>
      <c r="E14" s="7" t="s">
        <v>264</v>
      </c>
      <c r="F14" s="7">
        <v>18</v>
      </c>
      <c r="G14" s="19">
        <v>561163</v>
      </c>
      <c r="H14" s="15">
        <v>0.02</v>
      </c>
      <c r="I14" s="7">
        <v>16</v>
      </c>
      <c r="J14" s="16">
        <v>0.69995962340866247</v>
      </c>
    </row>
    <row r="15" spans="1:10" x14ac:dyDescent="0.3">
      <c r="A15" s="7" t="s">
        <v>21</v>
      </c>
      <c r="B15" s="7" t="s">
        <v>286</v>
      </c>
      <c r="C15" s="7" t="s">
        <v>260</v>
      </c>
      <c r="D15" s="7" t="s">
        <v>265</v>
      </c>
      <c r="E15" s="7" t="s">
        <v>266</v>
      </c>
      <c r="F15" s="7">
        <v>70</v>
      </c>
      <c r="G15" s="19">
        <v>3928757</v>
      </c>
      <c r="H15" s="15">
        <v>0.16</v>
      </c>
      <c r="I15" s="7">
        <v>1719</v>
      </c>
      <c r="J15" s="16">
        <v>0.85596449914795736</v>
      </c>
    </row>
    <row r="16" spans="1:10" x14ac:dyDescent="0.3">
      <c r="A16" s="7" t="s">
        <v>22</v>
      </c>
      <c r="B16" s="7" t="s">
        <v>287</v>
      </c>
      <c r="C16" s="7" t="s">
        <v>259</v>
      </c>
      <c r="D16" s="7" t="s">
        <v>261</v>
      </c>
      <c r="E16" s="7" t="s">
        <v>264</v>
      </c>
      <c r="F16" s="7">
        <v>50</v>
      </c>
      <c r="G16" s="19">
        <v>2038803</v>
      </c>
      <c r="H16" s="15">
        <v>7.0000000000000007E-2</v>
      </c>
      <c r="I16" s="7">
        <v>112</v>
      </c>
      <c r="J16" s="16">
        <v>0.83865007357896448</v>
      </c>
    </row>
    <row r="17" spans="1:10" x14ac:dyDescent="0.3">
      <c r="A17" s="7" t="s">
        <v>23</v>
      </c>
      <c r="B17" s="7" t="s">
        <v>288</v>
      </c>
      <c r="C17" s="7" t="s">
        <v>258</v>
      </c>
      <c r="D17" s="7" t="s">
        <v>263</v>
      </c>
      <c r="E17" s="7" t="s">
        <v>266</v>
      </c>
      <c r="F17" s="7">
        <v>9</v>
      </c>
      <c r="G17" s="19">
        <v>169873</v>
      </c>
      <c r="H17" s="15">
        <v>0.09</v>
      </c>
      <c r="I17" s="7">
        <v>57</v>
      </c>
      <c r="J17" s="16">
        <v>0.75595390824194708</v>
      </c>
    </row>
    <row r="18" spans="1:10" x14ac:dyDescent="0.3">
      <c r="A18" s="7" t="s">
        <v>24</v>
      </c>
      <c r="B18" s="7" t="s">
        <v>289</v>
      </c>
      <c r="C18" s="7" t="s">
        <v>258</v>
      </c>
      <c r="D18" s="7" t="s">
        <v>263</v>
      </c>
      <c r="E18" s="7" t="s">
        <v>266</v>
      </c>
      <c r="F18" s="7">
        <v>25</v>
      </c>
      <c r="G18" s="19">
        <v>293163</v>
      </c>
      <c r="H18" s="15">
        <v>0.06</v>
      </c>
      <c r="I18" s="7">
        <v>34</v>
      </c>
      <c r="J18" s="16">
        <v>0.56337221768178802</v>
      </c>
    </row>
    <row r="19" spans="1:10" x14ac:dyDescent="0.3">
      <c r="A19" s="7" t="s">
        <v>25</v>
      </c>
      <c r="B19" s="7" t="s">
        <v>290</v>
      </c>
      <c r="C19" s="7" t="s">
        <v>259</v>
      </c>
      <c r="D19" s="7" t="s">
        <v>261</v>
      </c>
      <c r="E19" s="7" t="s">
        <v>269</v>
      </c>
      <c r="F19" s="7">
        <v>56</v>
      </c>
      <c r="G19" s="19">
        <v>1545558</v>
      </c>
      <c r="H19" s="15">
        <v>0.03</v>
      </c>
      <c r="I19" s="7">
        <v>315</v>
      </c>
      <c r="J19" s="16">
        <v>0.87364328692365234</v>
      </c>
    </row>
    <row r="20" spans="1:10" x14ac:dyDescent="0.3">
      <c r="A20" s="7" t="s">
        <v>26</v>
      </c>
      <c r="B20" s="7" t="s">
        <v>291</v>
      </c>
      <c r="C20" s="7" t="s">
        <v>259</v>
      </c>
      <c r="D20" s="7" t="s">
        <v>261</v>
      </c>
      <c r="E20" s="7" t="s">
        <v>266</v>
      </c>
      <c r="F20" s="7">
        <v>10</v>
      </c>
      <c r="G20" s="19">
        <v>1489555</v>
      </c>
      <c r="H20" s="15">
        <v>0.12</v>
      </c>
      <c r="I20" s="7">
        <v>199</v>
      </c>
      <c r="J20" s="16">
        <v>0.74693332952601599</v>
      </c>
    </row>
    <row r="21" spans="1:10" x14ac:dyDescent="0.3">
      <c r="A21" s="7" t="s">
        <v>27</v>
      </c>
      <c r="B21" s="7" t="s">
        <v>292</v>
      </c>
      <c r="C21" s="7" t="s">
        <v>259</v>
      </c>
      <c r="D21" s="7" t="s">
        <v>263</v>
      </c>
      <c r="E21" s="7" t="s">
        <v>264</v>
      </c>
      <c r="F21" s="7">
        <v>36</v>
      </c>
      <c r="G21" s="19">
        <v>1261358</v>
      </c>
      <c r="H21" s="15">
        <v>0.18</v>
      </c>
      <c r="I21" s="7">
        <v>129</v>
      </c>
      <c r="J21" s="16">
        <v>0.8873611283618289</v>
      </c>
    </row>
    <row r="22" spans="1:10" x14ac:dyDescent="0.3">
      <c r="A22" s="7" t="s">
        <v>28</v>
      </c>
      <c r="B22" s="7" t="s">
        <v>293</v>
      </c>
      <c r="C22" s="7" t="s">
        <v>260</v>
      </c>
      <c r="D22" s="7" t="s">
        <v>265</v>
      </c>
      <c r="E22" s="7" t="s">
        <v>267</v>
      </c>
      <c r="F22" s="7">
        <v>30</v>
      </c>
      <c r="G22" s="19">
        <v>12867528</v>
      </c>
      <c r="H22" s="15">
        <v>0.26</v>
      </c>
      <c r="I22" s="7">
        <v>1158</v>
      </c>
      <c r="J22" s="16">
        <v>0.82370395054798373</v>
      </c>
    </row>
    <row r="23" spans="1:10" x14ac:dyDescent="0.3">
      <c r="A23" s="7" t="s">
        <v>29</v>
      </c>
      <c r="B23" s="7" t="s">
        <v>294</v>
      </c>
      <c r="C23" s="7" t="s">
        <v>259</v>
      </c>
      <c r="D23" s="7" t="s">
        <v>271</v>
      </c>
      <c r="E23" s="7" t="s">
        <v>262</v>
      </c>
      <c r="F23" s="7">
        <v>20</v>
      </c>
      <c r="G23" s="19">
        <v>854441</v>
      </c>
      <c r="H23" s="15">
        <v>0.08</v>
      </c>
      <c r="I23" s="7">
        <v>50</v>
      </c>
      <c r="J23" s="16">
        <v>0.84100069351457896</v>
      </c>
    </row>
    <row r="24" spans="1:10" x14ac:dyDescent="0.3">
      <c r="A24" s="7" t="s">
        <v>30</v>
      </c>
      <c r="B24" s="7" t="s">
        <v>295</v>
      </c>
      <c r="C24" s="7" t="s">
        <v>260</v>
      </c>
      <c r="D24" s="7" t="s">
        <v>261</v>
      </c>
      <c r="E24" s="7" t="s">
        <v>262</v>
      </c>
      <c r="F24" s="7">
        <v>17</v>
      </c>
      <c r="G24" s="19">
        <v>14872166</v>
      </c>
      <c r="H24" s="15">
        <v>0.14000000000000001</v>
      </c>
      <c r="I24" s="7">
        <v>1228</v>
      </c>
      <c r="J24" s="16">
        <v>0.96655144051474118</v>
      </c>
    </row>
    <row r="25" spans="1:10" x14ac:dyDescent="0.3">
      <c r="A25" s="7" t="s">
        <v>31</v>
      </c>
      <c r="B25" s="7" t="s">
        <v>296</v>
      </c>
      <c r="C25" s="7" t="s">
        <v>259</v>
      </c>
      <c r="D25" s="7" t="s">
        <v>270</v>
      </c>
      <c r="E25" s="7" t="s">
        <v>267</v>
      </c>
      <c r="F25" s="7">
        <v>44</v>
      </c>
      <c r="G25" s="19">
        <v>883675</v>
      </c>
      <c r="H25" s="15">
        <v>0.1</v>
      </c>
      <c r="I25" s="7">
        <v>301</v>
      </c>
      <c r="J25" s="16">
        <v>0.72553505999639512</v>
      </c>
    </row>
    <row r="26" spans="1:10" x14ac:dyDescent="0.3">
      <c r="A26" s="7" t="s">
        <v>32</v>
      </c>
      <c r="B26" s="7" t="s">
        <v>297</v>
      </c>
      <c r="C26" s="7" t="s">
        <v>258</v>
      </c>
      <c r="D26" s="7" t="s">
        <v>271</v>
      </c>
      <c r="E26" s="7" t="s">
        <v>264</v>
      </c>
      <c r="F26" s="7">
        <v>41</v>
      </c>
      <c r="G26" s="19">
        <v>289347</v>
      </c>
      <c r="H26" s="15">
        <v>0</v>
      </c>
      <c r="I26" s="7">
        <v>75</v>
      </c>
      <c r="J26" s="16">
        <v>0.54211026026687736</v>
      </c>
    </row>
    <row r="27" spans="1:10" x14ac:dyDescent="0.3">
      <c r="A27" s="7" t="s">
        <v>33</v>
      </c>
      <c r="B27" s="7" t="s">
        <v>298</v>
      </c>
      <c r="C27" s="7" t="s">
        <v>259</v>
      </c>
      <c r="D27" s="7" t="s">
        <v>265</v>
      </c>
      <c r="E27" s="7" t="s">
        <v>267</v>
      </c>
      <c r="F27" s="7">
        <v>23</v>
      </c>
      <c r="G27" s="19">
        <v>2375110</v>
      </c>
      <c r="H27" s="15">
        <v>0.02</v>
      </c>
      <c r="I27" s="7">
        <v>253</v>
      </c>
      <c r="J27" s="16">
        <v>0.83249864852226241</v>
      </c>
    </row>
    <row r="28" spans="1:10" x14ac:dyDescent="0.3">
      <c r="A28" s="7" t="s">
        <v>34</v>
      </c>
      <c r="B28" s="7" t="s">
        <v>299</v>
      </c>
      <c r="C28" s="7" t="s">
        <v>258</v>
      </c>
      <c r="D28" s="7" t="s">
        <v>263</v>
      </c>
      <c r="E28" s="7" t="s">
        <v>264</v>
      </c>
      <c r="F28" s="7">
        <v>13</v>
      </c>
      <c r="G28" s="19">
        <v>274477</v>
      </c>
      <c r="H28" s="15">
        <v>0.05</v>
      </c>
      <c r="I28" s="7">
        <v>12</v>
      </c>
      <c r="J28" s="16">
        <v>0.6114768236851984</v>
      </c>
    </row>
    <row r="29" spans="1:10" x14ac:dyDescent="0.3">
      <c r="A29" s="7" t="s">
        <v>35</v>
      </c>
      <c r="B29" s="7" t="s">
        <v>300</v>
      </c>
      <c r="C29" s="7" t="s">
        <v>258</v>
      </c>
      <c r="D29" s="7" t="s">
        <v>265</v>
      </c>
      <c r="E29" s="7" t="s">
        <v>267</v>
      </c>
      <c r="F29" s="7">
        <v>36</v>
      </c>
      <c r="G29" s="19">
        <v>506094</v>
      </c>
      <c r="H29" s="15">
        <v>0.04</v>
      </c>
      <c r="I29" s="7">
        <v>53</v>
      </c>
      <c r="J29" s="16">
        <v>0.56954297793588016</v>
      </c>
    </row>
    <row r="30" spans="1:10" x14ac:dyDescent="0.3">
      <c r="A30" s="7" t="s">
        <v>36</v>
      </c>
      <c r="B30" s="7" t="s">
        <v>301</v>
      </c>
      <c r="C30" s="7" t="s">
        <v>260</v>
      </c>
      <c r="D30" s="7" t="s">
        <v>270</v>
      </c>
      <c r="E30" s="7" t="s">
        <v>269</v>
      </c>
      <c r="F30" s="7">
        <v>62</v>
      </c>
      <c r="G30" s="19">
        <v>13867742</v>
      </c>
      <c r="H30" s="15">
        <v>0.19</v>
      </c>
      <c r="I30" s="7">
        <v>1096</v>
      </c>
      <c r="J30" s="16">
        <v>0.86368923292300803</v>
      </c>
    </row>
    <row r="31" spans="1:10" x14ac:dyDescent="0.3">
      <c r="A31" s="7" t="s">
        <v>37</v>
      </c>
      <c r="B31" s="7" t="s">
        <v>302</v>
      </c>
      <c r="C31" s="7" t="s">
        <v>259</v>
      </c>
      <c r="D31" s="7" t="s">
        <v>270</v>
      </c>
      <c r="E31" s="7" t="s">
        <v>267</v>
      </c>
      <c r="F31" s="7">
        <v>17</v>
      </c>
      <c r="G31" s="19">
        <v>925768</v>
      </c>
      <c r="H31" s="15">
        <v>0.04</v>
      </c>
      <c r="I31" s="7">
        <v>271</v>
      </c>
      <c r="J31" s="16">
        <v>0.84265771564351311</v>
      </c>
    </row>
    <row r="32" spans="1:10" x14ac:dyDescent="0.3">
      <c r="A32" s="7" t="s">
        <v>38</v>
      </c>
      <c r="B32" s="7" t="s">
        <v>303</v>
      </c>
      <c r="C32" s="7" t="s">
        <v>259</v>
      </c>
      <c r="D32" s="7" t="s">
        <v>265</v>
      </c>
      <c r="E32" s="7" t="s">
        <v>266</v>
      </c>
      <c r="F32" s="7">
        <v>15</v>
      </c>
      <c r="G32" s="19">
        <v>673094</v>
      </c>
      <c r="H32" s="15">
        <v>0.05</v>
      </c>
      <c r="I32" s="7">
        <v>268</v>
      </c>
      <c r="J32" s="16">
        <v>0.80899909589586227</v>
      </c>
    </row>
    <row r="33" spans="1:10" x14ac:dyDescent="0.3">
      <c r="A33" s="7" t="s">
        <v>39</v>
      </c>
      <c r="B33" s="7" t="s">
        <v>304</v>
      </c>
      <c r="C33" s="7" t="s">
        <v>260</v>
      </c>
      <c r="D33" s="7" t="s">
        <v>268</v>
      </c>
      <c r="E33" s="7" t="s">
        <v>264</v>
      </c>
      <c r="F33" s="7">
        <v>49</v>
      </c>
      <c r="G33" s="19">
        <v>11348633</v>
      </c>
      <c r="H33" s="15">
        <v>0.32</v>
      </c>
      <c r="I33" s="7">
        <v>932</v>
      </c>
      <c r="J33" s="16">
        <v>0.95730611395816534</v>
      </c>
    </row>
    <row r="34" spans="1:10" x14ac:dyDescent="0.3">
      <c r="A34" s="7" t="s">
        <v>40</v>
      </c>
      <c r="B34" s="7" t="s">
        <v>305</v>
      </c>
      <c r="C34" s="7" t="s">
        <v>260</v>
      </c>
      <c r="D34" s="7" t="s">
        <v>270</v>
      </c>
      <c r="E34" s="7" t="s">
        <v>264</v>
      </c>
      <c r="F34" s="7">
        <v>12</v>
      </c>
      <c r="G34" s="19">
        <v>2654186</v>
      </c>
      <c r="H34" s="15">
        <v>0.25</v>
      </c>
      <c r="I34" s="7">
        <v>1084</v>
      </c>
      <c r="J34" s="16">
        <v>0.77334738730889152</v>
      </c>
    </row>
    <row r="35" spans="1:10" x14ac:dyDescent="0.3">
      <c r="A35" s="7" t="s">
        <v>41</v>
      </c>
      <c r="B35" s="7" t="s">
        <v>306</v>
      </c>
      <c r="C35" s="7" t="s">
        <v>258</v>
      </c>
      <c r="D35" s="7" t="s">
        <v>265</v>
      </c>
      <c r="E35" s="7" t="s">
        <v>266</v>
      </c>
      <c r="F35" s="7">
        <v>39</v>
      </c>
      <c r="G35" s="19">
        <v>420466</v>
      </c>
      <c r="H35" s="15">
        <v>0.04</v>
      </c>
      <c r="I35" s="7">
        <v>48</v>
      </c>
      <c r="J35" s="16">
        <v>0.6813818545492123</v>
      </c>
    </row>
    <row r="36" spans="1:10" x14ac:dyDescent="0.3">
      <c r="A36" s="7" t="s">
        <v>42</v>
      </c>
      <c r="B36" s="7" t="s">
        <v>307</v>
      </c>
      <c r="C36" s="7" t="s">
        <v>258</v>
      </c>
      <c r="D36" s="7" t="s">
        <v>263</v>
      </c>
      <c r="E36" s="7" t="s">
        <v>266</v>
      </c>
      <c r="F36" s="7">
        <v>12</v>
      </c>
      <c r="G36" s="19">
        <v>182238</v>
      </c>
      <c r="H36" s="15">
        <v>0.09</v>
      </c>
      <c r="I36" s="7">
        <v>74</v>
      </c>
      <c r="J36" s="16">
        <v>0.64215054189728893</v>
      </c>
    </row>
    <row r="37" spans="1:10" x14ac:dyDescent="0.3">
      <c r="A37" s="7" t="s">
        <v>43</v>
      </c>
      <c r="B37" s="7" t="s">
        <v>308</v>
      </c>
      <c r="C37" s="7" t="s">
        <v>260</v>
      </c>
      <c r="D37" s="7" t="s">
        <v>268</v>
      </c>
      <c r="E37" s="7" t="s">
        <v>262</v>
      </c>
      <c r="F37" s="7">
        <v>49</v>
      </c>
      <c r="G37" s="19">
        <v>5095616</v>
      </c>
      <c r="H37" s="15">
        <v>0.21</v>
      </c>
      <c r="I37" s="7">
        <v>786</v>
      </c>
      <c r="J37" s="16">
        <v>0.8208300055791623</v>
      </c>
    </row>
    <row r="38" spans="1:10" x14ac:dyDescent="0.3">
      <c r="A38" s="7" t="s">
        <v>44</v>
      </c>
      <c r="B38" s="7" t="s">
        <v>309</v>
      </c>
      <c r="C38" s="7" t="s">
        <v>260</v>
      </c>
      <c r="D38" s="7" t="s">
        <v>263</v>
      </c>
      <c r="E38" s="7" t="s">
        <v>267</v>
      </c>
      <c r="F38" s="7">
        <v>16</v>
      </c>
      <c r="G38" s="19">
        <v>5437630</v>
      </c>
      <c r="H38" s="15">
        <v>0.14000000000000001</v>
      </c>
      <c r="I38" s="7">
        <v>1272</v>
      </c>
      <c r="J38" s="16">
        <v>0.80352919678822499</v>
      </c>
    </row>
    <row r="39" spans="1:10" x14ac:dyDescent="0.3">
      <c r="A39" s="7" t="s">
        <v>45</v>
      </c>
      <c r="B39" s="7" t="s">
        <v>310</v>
      </c>
      <c r="C39" s="7" t="s">
        <v>258</v>
      </c>
      <c r="D39" s="7" t="s">
        <v>263</v>
      </c>
      <c r="E39" s="7" t="s">
        <v>269</v>
      </c>
      <c r="F39" s="7">
        <v>14</v>
      </c>
      <c r="G39" s="19">
        <v>187894</v>
      </c>
      <c r="H39" s="15">
        <v>7.0000000000000007E-2</v>
      </c>
      <c r="I39" s="7">
        <v>69</v>
      </c>
      <c r="J39" s="16">
        <v>0.72385446828685196</v>
      </c>
    </row>
    <row r="40" spans="1:10" x14ac:dyDescent="0.3">
      <c r="A40" s="7" t="s">
        <v>46</v>
      </c>
      <c r="B40" s="7" t="s">
        <v>311</v>
      </c>
      <c r="C40" s="7" t="s">
        <v>258</v>
      </c>
      <c r="D40" s="7" t="s">
        <v>265</v>
      </c>
      <c r="E40" s="7" t="s">
        <v>262</v>
      </c>
      <c r="F40" s="7">
        <v>36</v>
      </c>
      <c r="G40" s="19">
        <v>321556</v>
      </c>
      <c r="H40" s="15">
        <v>0.06</v>
      </c>
      <c r="I40" s="7">
        <v>34</v>
      </c>
      <c r="J40" s="16">
        <v>0.65837404411841904</v>
      </c>
    </row>
    <row r="41" spans="1:10" x14ac:dyDescent="0.3">
      <c r="A41" s="7" t="s">
        <v>47</v>
      </c>
      <c r="B41" s="7" t="s">
        <v>312</v>
      </c>
      <c r="C41" s="7" t="s">
        <v>258</v>
      </c>
      <c r="D41" s="7" t="s">
        <v>268</v>
      </c>
      <c r="E41" s="7" t="s">
        <v>269</v>
      </c>
      <c r="F41" s="7">
        <v>12</v>
      </c>
      <c r="G41" s="19">
        <v>593527</v>
      </c>
      <c r="H41" s="15">
        <v>0.02</v>
      </c>
      <c r="I41" s="7">
        <v>11</v>
      </c>
      <c r="J41" s="16">
        <v>0.67978085779872588</v>
      </c>
    </row>
    <row r="42" spans="1:10" x14ac:dyDescent="0.3">
      <c r="A42" s="7" t="s">
        <v>48</v>
      </c>
      <c r="B42" s="7" t="s">
        <v>313</v>
      </c>
      <c r="C42" s="7" t="s">
        <v>259</v>
      </c>
      <c r="D42" s="7" t="s">
        <v>263</v>
      </c>
      <c r="E42" s="7" t="s">
        <v>262</v>
      </c>
      <c r="F42" s="7">
        <v>32</v>
      </c>
      <c r="G42" s="19">
        <v>1170648</v>
      </c>
      <c r="H42" s="15">
        <v>0.15</v>
      </c>
      <c r="I42" s="7">
        <v>90</v>
      </c>
      <c r="J42" s="16">
        <v>0.78874593530463932</v>
      </c>
    </row>
    <row r="43" spans="1:10" x14ac:dyDescent="0.3">
      <c r="A43" s="7" t="s">
        <v>49</v>
      </c>
      <c r="B43" s="7" t="s">
        <v>314</v>
      </c>
      <c r="C43" s="7" t="s">
        <v>259</v>
      </c>
      <c r="D43" s="7" t="s">
        <v>271</v>
      </c>
      <c r="E43" s="7" t="s">
        <v>267</v>
      </c>
      <c r="F43" s="7">
        <v>59</v>
      </c>
      <c r="G43" s="19">
        <v>1555785</v>
      </c>
      <c r="H43" s="15">
        <v>0.18</v>
      </c>
      <c r="I43" s="7">
        <v>298</v>
      </c>
      <c r="J43" s="16">
        <v>0.77143210874636081</v>
      </c>
    </row>
    <row r="44" spans="1:10" x14ac:dyDescent="0.3">
      <c r="A44" s="7" t="s">
        <v>50</v>
      </c>
      <c r="B44" s="7" t="s">
        <v>315</v>
      </c>
      <c r="C44" s="7" t="s">
        <v>260</v>
      </c>
      <c r="D44" s="7" t="s">
        <v>265</v>
      </c>
      <c r="E44" s="7" t="s">
        <v>267</v>
      </c>
      <c r="F44" s="7">
        <v>72</v>
      </c>
      <c r="G44" s="19">
        <v>13759633</v>
      </c>
      <c r="H44" s="15">
        <v>0.1</v>
      </c>
      <c r="I44" s="7">
        <v>1579</v>
      </c>
      <c r="J44" s="16">
        <v>0.90098217152379301</v>
      </c>
    </row>
    <row r="45" spans="1:10" x14ac:dyDescent="0.3">
      <c r="A45" s="7" t="s">
        <v>51</v>
      </c>
      <c r="B45" s="7" t="s">
        <v>316</v>
      </c>
      <c r="C45" s="7" t="s">
        <v>258</v>
      </c>
      <c r="D45" s="7" t="s">
        <v>268</v>
      </c>
      <c r="E45" s="7" t="s">
        <v>267</v>
      </c>
      <c r="F45" s="7">
        <v>20</v>
      </c>
      <c r="G45" s="19">
        <v>360551</v>
      </c>
      <c r="H45" s="15">
        <v>0.04</v>
      </c>
      <c r="I45" s="7">
        <v>20</v>
      </c>
      <c r="J45" s="16">
        <v>0.53416802813320885</v>
      </c>
    </row>
    <row r="46" spans="1:10" x14ac:dyDescent="0.3">
      <c r="A46" s="7" t="s">
        <v>52</v>
      </c>
      <c r="B46" s="7" t="s">
        <v>317</v>
      </c>
      <c r="C46" s="7" t="s">
        <v>260</v>
      </c>
      <c r="D46" s="7" t="s">
        <v>261</v>
      </c>
      <c r="E46" s="7" t="s">
        <v>264</v>
      </c>
      <c r="F46" s="7">
        <v>70</v>
      </c>
      <c r="G46" s="19">
        <v>7076031</v>
      </c>
      <c r="H46" s="15">
        <v>0.17</v>
      </c>
      <c r="I46" s="7">
        <v>1793</v>
      </c>
      <c r="J46" s="16">
        <v>0.89155921678530714</v>
      </c>
    </row>
    <row r="47" spans="1:10" x14ac:dyDescent="0.3">
      <c r="A47" s="7" t="s">
        <v>53</v>
      </c>
      <c r="B47" s="7" t="s">
        <v>318</v>
      </c>
      <c r="C47" s="7" t="s">
        <v>259</v>
      </c>
      <c r="D47" s="7" t="s">
        <v>261</v>
      </c>
      <c r="E47" s="7" t="s">
        <v>266</v>
      </c>
      <c r="F47" s="7">
        <v>7</v>
      </c>
      <c r="G47" s="19">
        <v>1266024</v>
      </c>
      <c r="H47" s="15">
        <v>0.12</v>
      </c>
      <c r="I47" s="7">
        <v>274</v>
      </c>
      <c r="J47" s="16">
        <v>0.74757498131785505</v>
      </c>
    </row>
    <row r="48" spans="1:10" x14ac:dyDescent="0.3">
      <c r="A48" s="7" t="s">
        <v>54</v>
      </c>
      <c r="B48" s="7" t="s">
        <v>319</v>
      </c>
      <c r="C48" s="7" t="s">
        <v>260</v>
      </c>
      <c r="D48" s="7" t="s">
        <v>270</v>
      </c>
      <c r="E48" s="7" t="s">
        <v>267</v>
      </c>
      <c r="F48" s="7">
        <v>47</v>
      </c>
      <c r="G48" s="19">
        <v>11224736</v>
      </c>
      <c r="H48" s="15">
        <v>0.19</v>
      </c>
      <c r="I48" s="7">
        <v>345</v>
      </c>
      <c r="J48" s="16">
        <v>0.94918287719974337</v>
      </c>
    </row>
    <row r="49" spans="1:10" x14ac:dyDescent="0.3">
      <c r="A49" s="7" t="s">
        <v>55</v>
      </c>
      <c r="B49" s="7" t="s">
        <v>320</v>
      </c>
      <c r="C49" s="7" t="s">
        <v>258</v>
      </c>
      <c r="D49" s="7" t="s">
        <v>271</v>
      </c>
      <c r="E49" s="7" t="s">
        <v>262</v>
      </c>
      <c r="F49" s="7">
        <v>43</v>
      </c>
      <c r="G49" s="19">
        <v>393860</v>
      </c>
      <c r="H49" s="15">
        <v>0.02</v>
      </c>
      <c r="I49" s="7">
        <v>28</v>
      </c>
      <c r="J49" s="16">
        <v>0.65070482762384785</v>
      </c>
    </row>
    <row r="50" spans="1:10" x14ac:dyDescent="0.3">
      <c r="A50" s="7" t="s">
        <v>56</v>
      </c>
      <c r="B50" s="7" t="s">
        <v>321</v>
      </c>
      <c r="C50" s="7" t="s">
        <v>260</v>
      </c>
      <c r="D50" s="7" t="s">
        <v>263</v>
      </c>
      <c r="E50" s="7" t="s">
        <v>262</v>
      </c>
      <c r="F50" s="7">
        <v>36</v>
      </c>
      <c r="G50" s="19">
        <v>11461036</v>
      </c>
      <c r="H50" s="15">
        <v>0.18</v>
      </c>
      <c r="I50" s="7">
        <v>1361</v>
      </c>
      <c r="J50" s="16">
        <v>0.75881356612826756</v>
      </c>
    </row>
    <row r="51" spans="1:10" x14ac:dyDescent="0.3">
      <c r="A51" s="7" t="s">
        <v>57</v>
      </c>
      <c r="B51" s="7" t="s">
        <v>322</v>
      </c>
      <c r="C51" s="7" t="s">
        <v>259</v>
      </c>
      <c r="D51" s="7" t="s">
        <v>261</v>
      </c>
      <c r="E51" s="7" t="s">
        <v>267</v>
      </c>
      <c r="F51" s="7">
        <v>38</v>
      </c>
      <c r="G51" s="19">
        <v>832608</v>
      </c>
      <c r="H51" s="15">
        <v>0.02</v>
      </c>
      <c r="I51" s="7">
        <v>134</v>
      </c>
      <c r="J51" s="16">
        <v>0.76036338862608921</v>
      </c>
    </row>
    <row r="52" spans="1:10" x14ac:dyDescent="0.3">
      <c r="A52" s="7" t="s">
        <v>58</v>
      </c>
      <c r="B52" s="7" t="s">
        <v>323</v>
      </c>
      <c r="C52" s="7" t="s">
        <v>258</v>
      </c>
      <c r="D52" s="7" t="s">
        <v>270</v>
      </c>
      <c r="E52" s="7" t="s">
        <v>264</v>
      </c>
      <c r="F52" s="7">
        <v>20</v>
      </c>
      <c r="G52" s="19">
        <v>564683</v>
      </c>
      <c r="H52" s="15">
        <v>7.0000000000000007E-2</v>
      </c>
      <c r="I52" s="7">
        <v>71</v>
      </c>
      <c r="J52" s="16">
        <v>0.64643164657740271</v>
      </c>
    </row>
    <row r="53" spans="1:10" x14ac:dyDescent="0.3">
      <c r="A53" s="7" t="s">
        <v>59</v>
      </c>
      <c r="B53" s="7" t="s">
        <v>324</v>
      </c>
      <c r="C53" s="7" t="s">
        <v>260</v>
      </c>
      <c r="D53" s="7" t="s">
        <v>268</v>
      </c>
      <c r="E53" s="7" t="s">
        <v>266</v>
      </c>
      <c r="F53" s="7">
        <v>57</v>
      </c>
      <c r="G53" s="19">
        <v>7654733</v>
      </c>
      <c r="H53" s="15">
        <v>0.25</v>
      </c>
      <c r="I53" s="7">
        <v>1041</v>
      </c>
      <c r="J53" s="16">
        <v>0.88739044915969034</v>
      </c>
    </row>
    <row r="54" spans="1:10" x14ac:dyDescent="0.3">
      <c r="A54" s="7" t="s">
        <v>60</v>
      </c>
      <c r="B54" s="7" t="s">
        <v>325</v>
      </c>
      <c r="C54" s="7" t="s">
        <v>259</v>
      </c>
      <c r="D54" s="7" t="s">
        <v>271</v>
      </c>
      <c r="E54" s="7" t="s">
        <v>267</v>
      </c>
      <c r="F54" s="7">
        <v>54</v>
      </c>
      <c r="G54" s="19">
        <v>2431645</v>
      </c>
      <c r="H54" s="15">
        <v>0.2</v>
      </c>
      <c r="I54" s="7">
        <v>227</v>
      </c>
      <c r="J54" s="16">
        <v>0.75014267235539644</v>
      </c>
    </row>
    <row r="55" spans="1:10" x14ac:dyDescent="0.3">
      <c r="A55" s="7" t="s">
        <v>61</v>
      </c>
      <c r="B55" s="7" t="s">
        <v>326</v>
      </c>
      <c r="C55" s="7" t="s">
        <v>259</v>
      </c>
      <c r="D55" s="7" t="s">
        <v>261</v>
      </c>
      <c r="E55" s="7" t="s">
        <v>269</v>
      </c>
      <c r="F55" s="7">
        <v>59</v>
      </c>
      <c r="G55" s="19">
        <v>1783582</v>
      </c>
      <c r="H55" s="15">
        <v>0.15</v>
      </c>
      <c r="I55" s="7">
        <v>185</v>
      </c>
      <c r="J55" s="16">
        <v>0.74765409598119104</v>
      </c>
    </row>
    <row r="56" spans="1:10" x14ac:dyDescent="0.3">
      <c r="A56" s="7" t="s">
        <v>62</v>
      </c>
      <c r="B56" s="7" t="s">
        <v>327</v>
      </c>
      <c r="C56" s="7" t="s">
        <v>258</v>
      </c>
      <c r="D56" s="7" t="s">
        <v>261</v>
      </c>
      <c r="E56" s="7" t="s">
        <v>267</v>
      </c>
      <c r="F56" s="7">
        <v>8</v>
      </c>
      <c r="G56" s="19">
        <v>408414</v>
      </c>
      <c r="H56" s="15">
        <v>0.09</v>
      </c>
      <c r="I56" s="7">
        <v>73</v>
      </c>
      <c r="J56" s="16">
        <v>0.56198456976712463</v>
      </c>
    </row>
    <row r="57" spans="1:10" x14ac:dyDescent="0.3">
      <c r="A57" s="7" t="s">
        <v>63</v>
      </c>
      <c r="B57" s="7" t="s">
        <v>328</v>
      </c>
      <c r="C57" s="7" t="s">
        <v>258</v>
      </c>
      <c r="D57" s="7" t="s">
        <v>268</v>
      </c>
      <c r="E57" s="7" t="s">
        <v>267</v>
      </c>
      <c r="F57" s="7">
        <v>40</v>
      </c>
      <c r="G57" s="19">
        <v>302114</v>
      </c>
      <c r="H57" s="15">
        <v>0</v>
      </c>
      <c r="I57" s="7">
        <v>37</v>
      </c>
      <c r="J57" s="16">
        <v>0.74546023891115887</v>
      </c>
    </row>
    <row r="58" spans="1:10" x14ac:dyDescent="0.3">
      <c r="A58" s="7" t="s">
        <v>64</v>
      </c>
      <c r="B58" s="7" t="s">
        <v>329</v>
      </c>
      <c r="C58" s="7" t="s">
        <v>258</v>
      </c>
      <c r="D58" s="7" t="s">
        <v>261</v>
      </c>
      <c r="E58" s="7" t="s">
        <v>262</v>
      </c>
      <c r="F58" s="7">
        <v>45</v>
      </c>
      <c r="G58" s="19">
        <v>467017</v>
      </c>
      <c r="H58" s="15">
        <v>0.03</v>
      </c>
      <c r="I58" s="7">
        <v>44</v>
      </c>
      <c r="J58" s="16">
        <v>0.58629641222171991</v>
      </c>
    </row>
    <row r="59" spans="1:10" x14ac:dyDescent="0.3">
      <c r="A59" s="7" t="s">
        <v>65</v>
      </c>
      <c r="B59" s="7" t="s">
        <v>330</v>
      </c>
      <c r="C59" s="7" t="s">
        <v>259</v>
      </c>
      <c r="D59" s="7" t="s">
        <v>263</v>
      </c>
      <c r="E59" s="7" t="s">
        <v>262</v>
      </c>
      <c r="F59" s="7">
        <v>33</v>
      </c>
      <c r="G59" s="19">
        <v>1521067</v>
      </c>
      <c r="H59" s="15">
        <v>0.14000000000000001</v>
      </c>
      <c r="I59" s="7">
        <v>363</v>
      </c>
      <c r="J59" s="16">
        <v>0.77537284946123253</v>
      </c>
    </row>
    <row r="60" spans="1:10" x14ac:dyDescent="0.3">
      <c r="A60" s="7" t="s">
        <v>66</v>
      </c>
      <c r="B60" s="7" t="s">
        <v>331</v>
      </c>
      <c r="C60" s="7" t="s">
        <v>260</v>
      </c>
      <c r="D60" s="7" t="s">
        <v>271</v>
      </c>
      <c r="E60" s="7" t="s">
        <v>262</v>
      </c>
      <c r="F60" s="7">
        <v>61</v>
      </c>
      <c r="G60" s="19">
        <v>5873953</v>
      </c>
      <c r="H60" s="15">
        <v>0.19</v>
      </c>
      <c r="I60" s="7">
        <v>1484</v>
      </c>
      <c r="J60" s="16">
        <v>0.78987677658040156</v>
      </c>
    </row>
    <row r="61" spans="1:10" x14ac:dyDescent="0.3">
      <c r="A61" s="7" t="s">
        <v>67</v>
      </c>
      <c r="B61" s="7" t="s">
        <v>332</v>
      </c>
      <c r="C61" s="7" t="s">
        <v>260</v>
      </c>
      <c r="D61" s="7" t="s">
        <v>261</v>
      </c>
      <c r="E61" s="7" t="s">
        <v>266</v>
      </c>
      <c r="F61" s="7">
        <v>42</v>
      </c>
      <c r="G61" s="19">
        <v>6083199</v>
      </c>
      <c r="H61" s="15">
        <v>0.12</v>
      </c>
      <c r="I61" s="7">
        <v>599</v>
      </c>
      <c r="J61" s="16">
        <v>0.83898911448341029</v>
      </c>
    </row>
    <row r="62" spans="1:10" x14ac:dyDescent="0.3">
      <c r="A62" s="7" t="s">
        <v>68</v>
      </c>
      <c r="B62" s="7" t="s">
        <v>333</v>
      </c>
      <c r="C62" s="7" t="s">
        <v>258</v>
      </c>
      <c r="D62" s="7" t="s">
        <v>270</v>
      </c>
      <c r="E62" s="7" t="s">
        <v>266</v>
      </c>
      <c r="F62" s="7">
        <v>7</v>
      </c>
      <c r="G62" s="19">
        <v>599788</v>
      </c>
      <c r="H62" s="15">
        <v>0.05</v>
      </c>
      <c r="I62" s="7">
        <v>27</v>
      </c>
      <c r="J62" s="16">
        <v>0.68113202980194265</v>
      </c>
    </row>
    <row r="63" spans="1:10" x14ac:dyDescent="0.3">
      <c r="A63" s="7" t="s">
        <v>69</v>
      </c>
      <c r="B63" s="7" t="s">
        <v>334</v>
      </c>
      <c r="C63" s="7" t="s">
        <v>258</v>
      </c>
      <c r="D63" s="7" t="s">
        <v>265</v>
      </c>
      <c r="E63" s="7" t="s">
        <v>264</v>
      </c>
      <c r="F63" s="7">
        <v>4</v>
      </c>
      <c r="G63" s="19">
        <v>534696</v>
      </c>
      <c r="H63" s="15">
        <v>0</v>
      </c>
      <c r="I63" s="7">
        <v>47</v>
      </c>
      <c r="J63" s="16">
        <v>0.66307843103659836</v>
      </c>
    </row>
    <row r="64" spans="1:10" x14ac:dyDescent="0.3">
      <c r="A64" s="7" t="s">
        <v>70</v>
      </c>
      <c r="B64" s="7" t="s">
        <v>335</v>
      </c>
      <c r="C64" s="7" t="s">
        <v>259</v>
      </c>
      <c r="D64" s="7" t="s">
        <v>261</v>
      </c>
      <c r="E64" s="7" t="s">
        <v>262</v>
      </c>
      <c r="F64" s="7">
        <v>40</v>
      </c>
      <c r="G64" s="19">
        <v>639058</v>
      </c>
      <c r="H64" s="15">
        <v>0.15</v>
      </c>
      <c r="I64" s="7">
        <v>225</v>
      </c>
      <c r="J64" s="16">
        <v>0.82754023244674335</v>
      </c>
    </row>
    <row r="65" spans="1:10" x14ac:dyDescent="0.3">
      <c r="A65" s="7" t="s">
        <v>71</v>
      </c>
      <c r="B65" s="7" t="s">
        <v>336</v>
      </c>
      <c r="C65" s="7" t="s">
        <v>258</v>
      </c>
      <c r="D65" s="7" t="s">
        <v>268</v>
      </c>
      <c r="E65" s="7" t="s">
        <v>266</v>
      </c>
      <c r="F65" s="7">
        <v>3</v>
      </c>
      <c r="G65" s="19">
        <v>478418</v>
      </c>
      <c r="H65" s="15">
        <v>0.1</v>
      </c>
      <c r="I65" s="7">
        <v>15</v>
      </c>
      <c r="J65" s="16">
        <v>0.56622199840172815</v>
      </c>
    </row>
    <row r="66" spans="1:10" x14ac:dyDescent="0.3">
      <c r="A66" s="7" t="s">
        <v>72</v>
      </c>
      <c r="B66" s="7" t="s">
        <v>337</v>
      </c>
      <c r="C66" s="7" t="s">
        <v>258</v>
      </c>
      <c r="D66" s="7" t="s">
        <v>265</v>
      </c>
      <c r="E66" s="7" t="s">
        <v>267</v>
      </c>
      <c r="F66" s="7">
        <v>22</v>
      </c>
      <c r="G66" s="19">
        <v>158429</v>
      </c>
      <c r="H66" s="15">
        <v>0.03</v>
      </c>
      <c r="I66" s="7">
        <v>41</v>
      </c>
      <c r="J66" s="16">
        <v>0.68813622512456019</v>
      </c>
    </row>
    <row r="67" spans="1:10" x14ac:dyDescent="0.3">
      <c r="A67" s="7" t="s">
        <v>73</v>
      </c>
      <c r="B67" s="7" t="s">
        <v>338</v>
      </c>
      <c r="C67" s="7" t="s">
        <v>259</v>
      </c>
      <c r="D67" s="7" t="s">
        <v>263</v>
      </c>
      <c r="E67" s="7" t="s">
        <v>262</v>
      </c>
      <c r="F67" s="7">
        <v>18</v>
      </c>
      <c r="G67" s="19">
        <v>2250467</v>
      </c>
      <c r="H67" s="15">
        <v>0.08</v>
      </c>
      <c r="I67" s="7">
        <v>83</v>
      </c>
      <c r="J67" s="16">
        <v>0.80510171669776742</v>
      </c>
    </row>
    <row r="68" spans="1:10" x14ac:dyDescent="0.3">
      <c r="A68" s="7" t="s">
        <v>74</v>
      </c>
      <c r="B68" s="7" t="s">
        <v>339</v>
      </c>
      <c r="C68" s="7" t="s">
        <v>258</v>
      </c>
      <c r="D68" s="7" t="s">
        <v>265</v>
      </c>
      <c r="E68" s="7" t="s">
        <v>264</v>
      </c>
      <c r="F68" s="7">
        <v>15</v>
      </c>
      <c r="G68" s="19">
        <v>155660</v>
      </c>
      <c r="H68" s="15">
        <v>0.06</v>
      </c>
      <c r="I68" s="7">
        <v>66</v>
      </c>
      <c r="J68" s="16">
        <v>0.8365886392298918</v>
      </c>
    </row>
    <row r="69" spans="1:10" x14ac:dyDescent="0.3">
      <c r="A69" s="7" t="s">
        <v>75</v>
      </c>
      <c r="B69" s="7" t="s">
        <v>340</v>
      </c>
      <c r="C69" s="7" t="s">
        <v>258</v>
      </c>
      <c r="D69" s="7" t="s">
        <v>261</v>
      </c>
      <c r="E69" s="7" t="s">
        <v>266</v>
      </c>
      <c r="F69" s="7">
        <v>33</v>
      </c>
      <c r="G69" s="19">
        <v>554841</v>
      </c>
      <c r="H69" s="15">
        <v>0.1</v>
      </c>
      <c r="I69" s="7">
        <v>64</v>
      </c>
      <c r="J69" s="16">
        <v>0.61249101673658801</v>
      </c>
    </row>
    <row r="70" spans="1:10" x14ac:dyDescent="0.3">
      <c r="A70" s="7" t="s">
        <v>76</v>
      </c>
      <c r="B70" s="7" t="s">
        <v>341</v>
      </c>
      <c r="C70" s="7" t="s">
        <v>258</v>
      </c>
      <c r="D70" s="7" t="s">
        <v>271</v>
      </c>
      <c r="E70" s="7" t="s">
        <v>267</v>
      </c>
      <c r="F70" s="7">
        <v>16</v>
      </c>
      <c r="G70" s="19">
        <v>412744</v>
      </c>
      <c r="H70" s="15">
        <v>7.0000000000000007E-2</v>
      </c>
      <c r="I70" s="7">
        <v>19</v>
      </c>
      <c r="J70" s="16">
        <v>0.84251252937607135</v>
      </c>
    </row>
    <row r="71" spans="1:10" x14ac:dyDescent="0.3">
      <c r="A71" s="7" t="s">
        <v>77</v>
      </c>
      <c r="B71" s="7" t="s">
        <v>342</v>
      </c>
      <c r="C71" s="7" t="s">
        <v>258</v>
      </c>
      <c r="D71" s="7" t="s">
        <v>270</v>
      </c>
      <c r="E71" s="7" t="s">
        <v>269</v>
      </c>
      <c r="F71" s="7">
        <v>37</v>
      </c>
      <c r="G71" s="19">
        <v>124630</v>
      </c>
      <c r="H71" s="15">
        <v>0.1</v>
      </c>
      <c r="I71" s="7">
        <v>21</v>
      </c>
      <c r="J71" s="16">
        <v>0.73105331108837279</v>
      </c>
    </row>
    <row r="72" spans="1:10" x14ac:dyDescent="0.3">
      <c r="A72" s="7" t="s">
        <v>78</v>
      </c>
      <c r="B72" s="7" t="s">
        <v>343</v>
      </c>
      <c r="C72" s="7" t="s">
        <v>258</v>
      </c>
      <c r="D72" s="7" t="s">
        <v>263</v>
      </c>
      <c r="E72" s="7" t="s">
        <v>264</v>
      </c>
      <c r="F72" s="7">
        <v>44</v>
      </c>
      <c r="G72" s="19">
        <v>585691</v>
      </c>
      <c r="H72" s="15">
        <v>0.09</v>
      </c>
      <c r="I72" s="7">
        <v>60</v>
      </c>
      <c r="J72" s="16">
        <v>0.51883230785147127</v>
      </c>
    </row>
    <row r="73" spans="1:10" x14ac:dyDescent="0.3">
      <c r="A73" s="7" t="s">
        <v>79</v>
      </c>
      <c r="B73" s="7" t="s">
        <v>344</v>
      </c>
      <c r="C73" s="7" t="s">
        <v>258</v>
      </c>
      <c r="D73" s="7" t="s">
        <v>271</v>
      </c>
      <c r="E73" s="7" t="s">
        <v>267</v>
      </c>
      <c r="F73" s="7">
        <v>18</v>
      </c>
      <c r="G73" s="19">
        <v>353867</v>
      </c>
      <c r="H73" s="15">
        <v>0.01</v>
      </c>
      <c r="I73" s="7">
        <v>63</v>
      </c>
      <c r="J73" s="16">
        <v>0.75336723491835267</v>
      </c>
    </row>
    <row r="74" spans="1:10" x14ac:dyDescent="0.3">
      <c r="A74" s="7" t="s">
        <v>80</v>
      </c>
      <c r="B74" s="7" t="s">
        <v>345</v>
      </c>
      <c r="C74" s="7" t="s">
        <v>258</v>
      </c>
      <c r="D74" s="7" t="s">
        <v>271</v>
      </c>
      <c r="E74" s="7" t="s">
        <v>269</v>
      </c>
      <c r="F74" s="7">
        <v>8</v>
      </c>
      <c r="G74" s="19">
        <v>151000</v>
      </c>
      <c r="H74" s="15">
        <v>0.04</v>
      </c>
      <c r="I74" s="7">
        <v>17</v>
      </c>
      <c r="J74" s="16">
        <v>0.61122075419332189</v>
      </c>
    </row>
    <row r="75" spans="1:10" x14ac:dyDescent="0.3">
      <c r="A75" s="7" t="s">
        <v>81</v>
      </c>
      <c r="B75" s="7" t="s">
        <v>346</v>
      </c>
      <c r="C75" s="7" t="s">
        <v>259</v>
      </c>
      <c r="D75" s="7" t="s">
        <v>263</v>
      </c>
      <c r="E75" s="7" t="s">
        <v>262</v>
      </c>
      <c r="F75" s="7">
        <v>50</v>
      </c>
      <c r="G75" s="19">
        <v>2165633</v>
      </c>
      <c r="H75" s="15">
        <v>0.03</v>
      </c>
      <c r="I75" s="7">
        <v>310</v>
      </c>
      <c r="J75" s="16">
        <v>0.867010201489256</v>
      </c>
    </row>
    <row r="76" spans="1:10" x14ac:dyDescent="0.3">
      <c r="A76" s="7" t="s">
        <v>82</v>
      </c>
      <c r="B76" s="7" t="s">
        <v>347</v>
      </c>
      <c r="C76" s="7" t="s">
        <v>259</v>
      </c>
      <c r="D76" s="7" t="s">
        <v>261</v>
      </c>
      <c r="E76" s="7" t="s">
        <v>264</v>
      </c>
      <c r="F76" s="7">
        <v>44</v>
      </c>
      <c r="G76" s="19">
        <v>1957527</v>
      </c>
      <c r="H76" s="15">
        <v>0.17</v>
      </c>
      <c r="I76" s="7">
        <v>212</v>
      </c>
      <c r="J76" s="16">
        <v>0.76402726772122098</v>
      </c>
    </row>
    <row r="77" spans="1:10" x14ac:dyDescent="0.3">
      <c r="A77" s="7" t="s">
        <v>83</v>
      </c>
      <c r="B77" s="7" t="s">
        <v>348</v>
      </c>
      <c r="C77" s="7" t="s">
        <v>258</v>
      </c>
      <c r="D77" s="7" t="s">
        <v>271</v>
      </c>
      <c r="E77" s="7" t="s">
        <v>264</v>
      </c>
      <c r="F77" s="7">
        <v>21</v>
      </c>
      <c r="G77" s="19">
        <v>569605</v>
      </c>
      <c r="H77" s="15">
        <v>0.08</v>
      </c>
      <c r="I77" s="7">
        <v>27</v>
      </c>
      <c r="J77" s="16">
        <v>0.63631269027834458</v>
      </c>
    </row>
    <row r="78" spans="1:10" x14ac:dyDescent="0.3">
      <c r="A78" s="7" t="s">
        <v>84</v>
      </c>
      <c r="B78" s="7" t="s">
        <v>349</v>
      </c>
      <c r="C78" s="7" t="s">
        <v>260</v>
      </c>
      <c r="D78" s="7" t="s">
        <v>261</v>
      </c>
      <c r="E78" s="7" t="s">
        <v>262</v>
      </c>
      <c r="F78" s="7">
        <v>36</v>
      </c>
      <c r="G78" s="19">
        <v>13334799</v>
      </c>
      <c r="H78" s="15">
        <v>0.23</v>
      </c>
      <c r="I78" s="7">
        <v>847</v>
      </c>
      <c r="J78" s="16">
        <v>0.778910192206138</v>
      </c>
    </row>
    <row r="79" spans="1:10" x14ac:dyDescent="0.3">
      <c r="A79" s="7" t="s">
        <v>85</v>
      </c>
      <c r="B79" s="7" t="s">
        <v>350</v>
      </c>
      <c r="C79" s="7" t="s">
        <v>259</v>
      </c>
      <c r="D79" s="7" t="s">
        <v>271</v>
      </c>
      <c r="E79" s="7" t="s">
        <v>266</v>
      </c>
      <c r="F79" s="7">
        <v>48</v>
      </c>
      <c r="G79" s="19">
        <v>974098</v>
      </c>
      <c r="H79" s="15">
        <v>0.14000000000000001</v>
      </c>
      <c r="I79" s="7">
        <v>166</v>
      </c>
      <c r="J79" s="16">
        <v>0.70706011103230626</v>
      </c>
    </row>
    <row r="80" spans="1:10" x14ac:dyDescent="0.3">
      <c r="A80" s="7" t="s">
        <v>86</v>
      </c>
      <c r="B80" s="7" t="s">
        <v>351</v>
      </c>
      <c r="C80" s="7" t="s">
        <v>258</v>
      </c>
      <c r="D80" s="7" t="s">
        <v>261</v>
      </c>
      <c r="E80" s="7" t="s">
        <v>264</v>
      </c>
      <c r="F80" s="7">
        <v>15</v>
      </c>
      <c r="G80" s="19">
        <v>290474</v>
      </c>
      <c r="H80" s="15">
        <v>0.04</v>
      </c>
      <c r="I80" s="7">
        <v>35</v>
      </c>
      <c r="J80" s="16">
        <v>0.61550501327845086</v>
      </c>
    </row>
    <row r="81" spans="1:10" x14ac:dyDescent="0.3">
      <c r="A81" s="7" t="s">
        <v>87</v>
      </c>
      <c r="B81" s="7" t="s">
        <v>352</v>
      </c>
      <c r="C81" s="7" t="s">
        <v>260</v>
      </c>
      <c r="D81" s="7" t="s">
        <v>261</v>
      </c>
      <c r="E81" s="7" t="s">
        <v>266</v>
      </c>
      <c r="F81" s="7">
        <v>38</v>
      </c>
      <c r="G81" s="19">
        <v>10222963</v>
      </c>
      <c r="H81" s="15">
        <v>0.26</v>
      </c>
      <c r="I81" s="7">
        <v>1889</v>
      </c>
      <c r="J81" s="16">
        <v>0.9095347799127681</v>
      </c>
    </row>
    <row r="82" spans="1:10" x14ac:dyDescent="0.3">
      <c r="A82" s="7" t="s">
        <v>88</v>
      </c>
      <c r="B82" s="7" t="s">
        <v>353</v>
      </c>
      <c r="C82" s="7" t="s">
        <v>259</v>
      </c>
      <c r="D82" s="7" t="s">
        <v>271</v>
      </c>
      <c r="E82" s="7" t="s">
        <v>262</v>
      </c>
      <c r="F82" s="7">
        <v>22</v>
      </c>
      <c r="G82" s="19">
        <v>2141751</v>
      </c>
      <c r="H82" s="15">
        <v>0.15</v>
      </c>
      <c r="I82" s="7">
        <v>316</v>
      </c>
      <c r="J82" s="16">
        <v>0.74614573809566875</v>
      </c>
    </row>
    <row r="83" spans="1:10" x14ac:dyDescent="0.3">
      <c r="A83" s="7" t="s">
        <v>89</v>
      </c>
      <c r="B83" s="7" t="s">
        <v>354</v>
      </c>
      <c r="C83" s="7" t="s">
        <v>259</v>
      </c>
      <c r="D83" s="7" t="s">
        <v>265</v>
      </c>
      <c r="E83" s="7" t="s">
        <v>267</v>
      </c>
      <c r="F83" s="7">
        <v>23</v>
      </c>
      <c r="G83" s="19">
        <v>653290</v>
      </c>
      <c r="H83" s="15">
        <v>0.04</v>
      </c>
      <c r="I83" s="7">
        <v>58</v>
      </c>
      <c r="J83" s="16">
        <v>0.71721106455617623</v>
      </c>
    </row>
    <row r="84" spans="1:10" x14ac:dyDescent="0.3">
      <c r="A84" s="7" t="s">
        <v>90</v>
      </c>
      <c r="B84" s="7" t="s">
        <v>355</v>
      </c>
      <c r="C84" s="7" t="s">
        <v>258</v>
      </c>
      <c r="D84" s="7" t="s">
        <v>268</v>
      </c>
      <c r="E84" s="7" t="s">
        <v>266</v>
      </c>
      <c r="F84" s="7">
        <v>6</v>
      </c>
      <c r="G84" s="19">
        <v>204356</v>
      </c>
      <c r="H84" s="15">
        <v>0.04</v>
      </c>
      <c r="I84" s="7">
        <v>12</v>
      </c>
      <c r="J84" s="16">
        <v>0.64287892274643821</v>
      </c>
    </row>
    <row r="85" spans="1:10" x14ac:dyDescent="0.3">
      <c r="A85" s="7" t="s">
        <v>91</v>
      </c>
      <c r="B85" s="7" t="s">
        <v>356</v>
      </c>
      <c r="C85" s="7" t="s">
        <v>259</v>
      </c>
      <c r="D85" s="7" t="s">
        <v>265</v>
      </c>
      <c r="E85" s="7" t="s">
        <v>266</v>
      </c>
      <c r="F85" s="7">
        <v>57</v>
      </c>
      <c r="G85" s="19">
        <v>2143490</v>
      </c>
      <c r="H85" s="15">
        <v>0.14000000000000001</v>
      </c>
      <c r="I85" s="7">
        <v>51</v>
      </c>
      <c r="J85" s="16">
        <v>0.85582403236159443</v>
      </c>
    </row>
    <row r="86" spans="1:10" x14ac:dyDescent="0.3">
      <c r="A86" s="7" t="s">
        <v>92</v>
      </c>
      <c r="B86" s="7" t="s">
        <v>357</v>
      </c>
      <c r="C86" s="7" t="s">
        <v>258</v>
      </c>
      <c r="D86" s="7" t="s">
        <v>263</v>
      </c>
      <c r="E86" s="7" t="s">
        <v>266</v>
      </c>
      <c r="F86" s="7">
        <v>10</v>
      </c>
      <c r="G86" s="19">
        <v>273066</v>
      </c>
      <c r="H86" s="15">
        <v>0.09</v>
      </c>
      <c r="I86" s="7">
        <v>36</v>
      </c>
      <c r="J86" s="16">
        <v>0.81345716850296368</v>
      </c>
    </row>
    <row r="87" spans="1:10" x14ac:dyDescent="0.3">
      <c r="A87" s="7" t="s">
        <v>93</v>
      </c>
      <c r="B87" s="7" t="s">
        <v>358</v>
      </c>
      <c r="C87" s="7" t="s">
        <v>260</v>
      </c>
      <c r="D87" s="7" t="s">
        <v>270</v>
      </c>
      <c r="E87" s="7" t="s">
        <v>262</v>
      </c>
      <c r="F87" s="7">
        <v>43</v>
      </c>
      <c r="G87" s="19">
        <v>7941458</v>
      </c>
      <c r="H87" s="15">
        <v>0.23</v>
      </c>
      <c r="I87" s="7">
        <v>582</v>
      </c>
      <c r="J87" s="16">
        <v>0.75256702348702675</v>
      </c>
    </row>
    <row r="88" spans="1:10" x14ac:dyDescent="0.3">
      <c r="A88" s="7" t="s">
        <v>94</v>
      </c>
      <c r="B88" s="7" t="s">
        <v>359</v>
      </c>
      <c r="C88" s="7" t="s">
        <v>258</v>
      </c>
      <c r="D88" s="7" t="s">
        <v>270</v>
      </c>
      <c r="E88" s="7" t="s">
        <v>269</v>
      </c>
      <c r="F88" s="7">
        <v>9</v>
      </c>
      <c r="G88" s="19">
        <v>455199</v>
      </c>
      <c r="H88" s="15">
        <v>0.03</v>
      </c>
      <c r="I88" s="7">
        <v>75</v>
      </c>
      <c r="J88" s="16">
        <v>0.80635725816293113</v>
      </c>
    </row>
    <row r="89" spans="1:10" x14ac:dyDescent="0.3">
      <c r="A89" s="7" t="s">
        <v>95</v>
      </c>
      <c r="B89" s="7" t="s">
        <v>360</v>
      </c>
      <c r="C89" s="7" t="s">
        <v>260</v>
      </c>
      <c r="D89" s="7" t="s">
        <v>270</v>
      </c>
      <c r="E89" s="7" t="s">
        <v>266</v>
      </c>
      <c r="F89" s="7">
        <v>38</v>
      </c>
      <c r="G89" s="19">
        <v>9431334</v>
      </c>
      <c r="H89" s="15">
        <v>0.2</v>
      </c>
      <c r="I89" s="7">
        <v>685</v>
      </c>
      <c r="J89" s="16">
        <v>0.85669969403482726</v>
      </c>
    </row>
    <row r="90" spans="1:10" x14ac:dyDescent="0.3">
      <c r="A90" s="7" t="s">
        <v>96</v>
      </c>
      <c r="B90" s="7" t="s">
        <v>361</v>
      </c>
      <c r="C90" s="7" t="s">
        <v>260</v>
      </c>
      <c r="D90" s="7" t="s">
        <v>265</v>
      </c>
      <c r="E90" s="7" t="s">
        <v>264</v>
      </c>
      <c r="F90" s="7">
        <v>15</v>
      </c>
      <c r="G90" s="19">
        <v>13574213</v>
      </c>
      <c r="H90" s="15">
        <v>0.28999999999999998</v>
      </c>
      <c r="I90" s="7">
        <v>626</v>
      </c>
      <c r="J90" s="16">
        <v>0.93925675528980535</v>
      </c>
    </row>
    <row r="91" spans="1:10" x14ac:dyDescent="0.3">
      <c r="A91" s="7" t="s">
        <v>97</v>
      </c>
      <c r="B91" s="7" t="s">
        <v>362</v>
      </c>
      <c r="C91" s="7" t="s">
        <v>258</v>
      </c>
      <c r="D91" s="7" t="s">
        <v>270</v>
      </c>
      <c r="E91" s="7" t="s">
        <v>264</v>
      </c>
      <c r="F91" s="7">
        <v>23</v>
      </c>
      <c r="G91" s="19">
        <v>427596</v>
      </c>
      <c r="H91" s="15">
        <v>0.05</v>
      </c>
      <c r="I91" s="7">
        <v>11</v>
      </c>
      <c r="J91" s="16">
        <v>0.62377860003443164</v>
      </c>
    </row>
    <row r="92" spans="1:10" x14ac:dyDescent="0.3">
      <c r="A92" s="7" t="s">
        <v>98</v>
      </c>
      <c r="B92" s="7" t="s">
        <v>363</v>
      </c>
      <c r="C92" s="7" t="s">
        <v>259</v>
      </c>
      <c r="D92" s="7" t="s">
        <v>265</v>
      </c>
      <c r="E92" s="7" t="s">
        <v>266</v>
      </c>
      <c r="F92" s="7">
        <v>26</v>
      </c>
      <c r="G92" s="19">
        <v>941420</v>
      </c>
      <c r="H92" s="15">
        <v>0.1</v>
      </c>
      <c r="I92" s="7">
        <v>128</v>
      </c>
      <c r="J92" s="16">
        <v>0.89727469590387898</v>
      </c>
    </row>
    <row r="93" spans="1:10" x14ac:dyDescent="0.3">
      <c r="A93" s="7" t="s">
        <v>99</v>
      </c>
      <c r="B93" s="7" t="s">
        <v>364</v>
      </c>
      <c r="C93" s="7" t="s">
        <v>258</v>
      </c>
      <c r="D93" s="7" t="s">
        <v>270</v>
      </c>
      <c r="E93" s="7" t="s">
        <v>269</v>
      </c>
      <c r="F93" s="7">
        <v>9</v>
      </c>
      <c r="G93" s="19">
        <v>337573</v>
      </c>
      <c r="H93" s="15">
        <v>0.01</v>
      </c>
      <c r="I93" s="7">
        <v>40</v>
      </c>
      <c r="J93" s="16">
        <v>0.66670735011679239</v>
      </c>
    </row>
    <row r="94" spans="1:10" x14ac:dyDescent="0.3">
      <c r="A94" s="7" t="s">
        <v>100</v>
      </c>
      <c r="B94" s="7" t="s">
        <v>365</v>
      </c>
      <c r="C94" s="7" t="s">
        <v>259</v>
      </c>
      <c r="D94" s="7" t="s">
        <v>271</v>
      </c>
      <c r="E94" s="7" t="s">
        <v>269</v>
      </c>
      <c r="F94" s="7">
        <v>44</v>
      </c>
      <c r="G94" s="19">
        <v>1295727</v>
      </c>
      <c r="H94" s="15">
        <v>0.12</v>
      </c>
      <c r="I94" s="7">
        <v>289</v>
      </c>
      <c r="J94" s="16">
        <v>0.78196541093820437</v>
      </c>
    </row>
    <row r="95" spans="1:10" x14ac:dyDescent="0.3">
      <c r="A95" s="7" t="s">
        <v>101</v>
      </c>
      <c r="B95" s="7" t="s">
        <v>366</v>
      </c>
      <c r="C95" s="7" t="s">
        <v>259</v>
      </c>
      <c r="D95" s="7" t="s">
        <v>270</v>
      </c>
      <c r="E95" s="7" t="s">
        <v>266</v>
      </c>
      <c r="F95" s="7">
        <v>57</v>
      </c>
      <c r="G95" s="19">
        <v>2107271</v>
      </c>
      <c r="H95" s="15">
        <v>0.19</v>
      </c>
      <c r="I95" s="7">
        <v>56</v>
      </c>
      <c r="J95" s="16">
        <v>0.77318806980107124</v>
      </c>
    </row>
    <row r="96" spans="1:10" x14ac:dyDescent="0.3">
      <c r="A96" s="7" t="s">
        <v>102</v>
      </c>
      <c r="B96" s="7" t="s">
        <v>367</v>
      </c>
      <c r="C96" s="7" t="s">
        <v>259</v>
      </c>
      <c r="D96" s="7" t="s">
        <v>270</v>
      </c>
      <c r="E96" s="7" t="s">
        <v>267</v>
      </c>
      <c r="F96" s="7">
        <v>25</v>
      </c>
      <c r="G96" s="19">
        <v>2295567</v>
      </c>
      <c r="H96" s="15">
        <v>0.18</v>
      </c>
      <c r="I96" s="7">
        <v>57</v>
      </c>
      <c r="J96" s="16">
        <v>0.81968174259526372</v>
      </c>
    </row>
    <row r="97" spans="1:10" x14ac:dyDescent="0.3">
      <c r="A97" s="7" t="s">
        <v>103</v>
      </c>
      <c r="B97" s="7" t="s">
        <v>368</v>
      </c>
      <c r="C97" s="7" t="s">
        <v>258</v>
      </c>
      <c r="D97" s="7" t="s">
        <v>268</v>
      </c>
      <c r="E97" s="7" t="s">
        <v>269</v>
      </c>
      <c r="F97" s="7">
        <v>20</v>
      </c>
      <c r="G97" s="19">
        <v>150439</v>
      </c>
      <c r="H97" s="15">
        <v>7.0000000000000007E-2</v>
      </c>
      <c r="I97" s="7">
        <v>20</v>
      </c>
      <c r="J97" s="16">
        <v>0.66083739194250679</v>
      </c>
    </row>
    <row r="98" spans="1:10" x14ac:dyDescent="0.3">
      <c r="A98" s="7" t="s">
        <v>104</v>
      </c>
      <c r="B98" s="7" t="s">
        <v>369</v>
      </c>
      <c r="C98" s="7" t="s">
        <v>258</v>
      </c>
      <c r="D98" s="7" t="s">
        <v>261</v>
      </c>
      <c r="E98" s="7" t="s">
        <v>264</v>
      </c>
      <c r="F98" s="7">
        <v>44</v>
      </c>
      <c r="G98" s="19">
        <v>452190</v>
      </c>
      <c r="H98" s="15">
        <v>0.03</v>
      </c>
      <c r="I98" s="7">
        <v>46</v>
      </c>
      <c r="J98" s="16">
        <v>0.82429954969288088</v>
      </c>
    </row>
    <row r="99" spans="1:10" x14ac:dyDescent="0.3">
      <c r="A99" s="7" t="s">
        <v>105</v>
      </c>
      <c r="B99" s="7" t="s">
        <v>370</v>
      </c>
      <c r="C99" s="7" t="s">
        <v>259</v>
      </c>
      <c r="D99" s="7" t="s">
        <v>265</v>
      </c>
      <c r="E99" s="7" t="s">
        <v>266</v>
      </c>
      <c r="F99" s="7">
        <v>45</v>
      </c>
      <c r="G99" s="19">
        <v>2323448</v>
      </c>
      <c r="H99" s="15">
        <v>0.2</v>
      </c>
      <c r="I99" s="7">
        <v>351</v>
      </c>
      <c r="J99" s="16">
        <v>0.84629581604223247</v>
      </c>
    </row>
    <row r="100" spans="1:10" x14ac:dyDescent="0.3">
      <c r="A100" s="7" t="s">
        <v>106</v>
      </c>
      <c r="B100" s="7" t="s">
        <v>371</v>
      </c>
      <c r="C100" s="7" t="s">
        <v>260</v>
      </c>
      <c r="D100" s="7" t="s">
        <v>265</v>
      </c>
      <c r="E100" s="7" t="s">
        <v>266</v>
      </c>
      <c r="F100" s="7">
        <v>69</v>
      </c>
      <c r="G100" s="19">
        <v>6358788</v>
      </c>
      <c r="H100" s="15">
        <v>0.27</v>
      </c>
      <c r="I100" s="7">
        <v>1799</v>
      </c>
      <c r="J100" s="16">
        <v>0.96125629832892323</v>
      </c>
    </row>
    <row r="101" spans="1:10" x14ac:dyDescent="0.3">
      <c r="A101" s="7" t="s">
        <v>107</v>
      </c>
      <c r="B101" s="7" t="s">
        <v>372</v>
      </c>
      <c r="C101" s="7" t="s">
        <v>260</v>
      </c>
      <c r="D101" s="7" t="s">
        <v>263</v>
      </c>
      <c r="E101" s="7" t="s">
        <v>266</v>
      </c>
      <c r="F101" s="7">
        <v>66</v>
      </c>
      <c r="G101" s="19">
        <v>10634051</v>
      </c>
      <c r="H101" s="15">
        <v>0.25</v>
      </c>
      <c r="I101" s="7">
        <v>1631</v>
      </c>
      <c r="J101" s="16">
        <v>0.9575543349683</v>
      </c>
    </row>
    <row r="102" spans="1:10" x14ac:dyDescent="0.3">
      <c r="A102" s="7" t="s">
        <v>108</v>
      </c>
      <c r="B102" s="7" t="s">
        <v>373</v>
      </c>
      <c r="C102" s="7" t="s">
        <v>259</v>
      </c>
      <c r="D102" s="7" t="s">
        <v>270</v>
      </c>
      <c r="E102" s="7" t="s">
        <v>266</v>
      </c>
      <c r="F102" s="7">
        <v>35</v>
      </c>
      <c r="G102" s="19">
        <v>1179256</v>
      </c>
      <c r="H102" s="15">
        <v>0.02</v>
      </c>
      <c r="I102" s="7">
        <v>392</v>
      </c>
      <c r="J102" s="16">
        <v>0.71527719670600309</v>
      </c>
    </row>
    <row r="103" spans="1:10" x14ac:dyDescent="0.3">
      <c r="A103" s="7" t="s">
        <v>109</v>
      </c>
      <c r="B103" s="7" t="s">
        <v>374</v>
      </c>
      <c r="C103" s="7" t="s">
        <v>259</v>
      </c>
      <c r="D103" s="7" t="s">
        <v>261</v>
      </c>
      <c r="E103" s="7" t="s">
        <v>262</v>
      </c>
      <c r="F103" s="7">
        <v>41</v>
      </c>
      <c r="G103" s="19">
        <v>2406221</v>
      </c>
      <c r="H103" s="15">
        <v>0.18</v>
      </c>
      <c r="I103" s="7">
        <v>79</v>
      </c>
      <c r="J103" s="16">
        <v>0.84981327118967664</v>
      </c>
    </row>
    <row r="104" spans="1:10" x14ac:dyDescent="0.3">
      <c r="A104" s="7" t="s">
        <v>110</v>
      </c>
      <c r="B104" s="7" t="s">
        <v>375</v>
      </c>
      <c r="C104" s="7" t="s">
        <v>258</v>
      </c>
      <c r="D104" s="7" t="s">
        <v>261</v>
      </c>
      <c r="E104" s="7" t="s">
        <v>266</v>
      </c>
      <c r="F104" s="7">
        <v>28</v>
      </c>
      <c r="G104" s="19">
        <v>317626</v>
      </c>
      <c r="H104" s="15">
        <v>0.03</v>
      </c>
      <c r="I104" s="7">
        <v>9</v>
      </c>
      <c r="J104" s="16">
        <v>0.51688910758596041</v>
      </c>
    </row>
    <row r="105" spans="1:10" x14ac:dyDescent="0.3">
      <c r="A105" s="7" t="s">
        <v>111</v>
      </c>
      <c r="B105" s="7" t="s">
        <v>376</v>
      </c>
      <c r="C105" s="7" t="s">
        <v>259</v>
      </c>
      <c r="D105" s="7" t="s">
        <v>268</v>
      </c>
      <c r="E105" s="7" t="s">
        <v>267</v>
      </c>
      <c r="F105" s="7">
        <v>10</v>
      </c>
      <c r="G105" s="19">
        <v>1594384</v>
      </c>
      <c r="H105" s="15">
        <v>0.01</v>
      </c>
      <c r="I105" s="7">
        <v>142</v>
      </c>
      <c r="J105" s="16">
        <v>0.83903057287484573</v>
      </c>
    </row>
    <row r="106" spans="1:10" x14ac:dyDescent="0.3">
      <c r="A106" s="7" t="s">
        <v>112</v>
      </c>
      <c r="B106" s="7" t="s">
        <v>377</v>
      </c>
      <c r="C106" s="7" t="s">
        <v>258</v>
      </c>
      <c r="D106" s="7" t="s">
        <v>265</v>
      </c>
      <c r="E106" s="7" t="s">
        <v>267</v>
      </c>
      <c r="F106" s="7">
        <v>30</v>
      </c>
      <c r="G106" s="19">
        <v>576805</v>
      </c>
      <c r="H106" s="15">
        <v>0.05</v>
      </c>
      <c r="I106" s="7">
        <v>63</v>
      </c>
      <c r="J106" s="16">
        <v>0.70679958762367778</v>
      </c>
    </row>
    <row r="107" spans="1:10" x14ac:dyDescent="0.3">
      <c r="A107" s="7" t="s">
        <v>113</v>
      </c>
      <c r="B107" s="7" t="s">
        <v>378</v>
      </c>
      <c r="C107" s="7" t="s">
        <v>259</v>
      </c>
      <c r="D107" s="7" t="s">
        <v>270</v>
      </c>
      <c r="E107" s="7" t="s">
        <v>264</v>
      </c>
      <c r="F107" s="7">
        <v>37</v>
      </c>
      <c r="G107" s="19">
        <v>1799816</v>
      </c>
      <c r="H107" s="15">
        <v>0.09</v>
      </c>
      <c r="I107" s="7">
        <v>309</v>
      </c>
      <c r="J107" s="16">
        <v>0.80984379606515644</v>
      </c>
    </row>
    <row r="108" spans="1:10" x14ac:dyDescent="0.3">
      <c r="A108" s="7" t="s">
        <v>114</v>
      </c>
      <c r="B108" s="7" t="s">
        <v>379</v>
      </c>
      <c r="C108" s="7" t="s">
        <v>259</v>
      </c>
      <c r="D108" s="7" t="s">
        <v>263</v>
      </c>
      <c r="E108" s="7" t="s">
        <v>262</v>
      </c>
      <c r="F108" s="7">
        <v>36</v>
      </c>
      <c r="G108" s="19">
        <v>1327921</v>
      </c>
      <c r="H108" s="15">
        <v>0.14000000000000001</v>
      </c>
      <c r="I108" s="7">
        <v>115</v>
      </c>
      <c r="J108" s="16">
        <v>0.72248771051267224</v>
      </c>
    </row>
    <row r="109" spans="1:10" x14ac:dyDescent="0.3">
      <c r="A109" s="7" t="s">
        <v>115</v>
      </c>
      <c r="B109" s="7" t="s">
        <v>380</v>
      </c>
      <c r="C109" s="7" t="s">
        <v>258</v>
      </c>
      <c r="D109" s="7" t="s">
        <v>265</v>
      </c>
      <c r="E109" s="7" t="s">
        <v>267</v>
      </c>
      <c r="F109" s="7">
        <v>30</v>
      </c>
      <c r="G109" s="19">
        <v>454001</v>
      </c>
      <c r="H109" s="15">
        <v>0.01</v>
      </c>
      <c r="I109" s="7">
        <v>30</v>
      </c>
      <c r="J109" s="16">
        <v>0.71932649646655644</v>
      </c>
    </row>
    <row r="110" spans="1:10" x14ac:dyDescent="0.3">
      <c r="A110" s="7" t="s">
        <v>116</v>
      </c>
      <c r="B110" s="7" t="s">
        <v>381</v>
      </c>
      <c r="C110" s="7" t="s">
        <v>258</v>
      </c>
      <c r="D110" s="7" t="s">
        <v>261</v>
      </c>
      <c r="E110" s="7" t="s">
        <v>267</v>
      </c>
      <c r="F110" s="7">
        <v>33</v>
      </c>
      <c r="G110" s="19">
        <v>232807</v>
      </c>
      <c r="H110" s="15">
        <v>0.06</v>
      </c>
      <c r="I110" s="7">
        <v>60</v>
      </c>
      <c r="J110" s="16">
        <v>0.5071705505543449</v>
      </c>
    </row>
    <row r="111" spans="1:10" x14ac:dyDescent="0.3">
      <c r="A111" s="7" t="s">
        <v>117</v>
      </c>
      <c r="B111" s="7" t="s">
        <v>382</v>
      </c>
      <c r="C111" s="7" t="s">
        <v>258</v>
      </c>
      <c r="D111" s="7" t="s">
        <v>263</v>
      </c>
      <c r="E111" s="7" t="s">
        <v>264</v>
      </c>
      <c r="F111" s="7">
        <v>45</v>
      </c>
      <c r="G111" s="19">
        <v>240097</v>
      </c>
      <c r="H111" s="15">
        <v>0.08</v>
      </c>
      <c r="I111" s="7">
        <v>14</v>
      </c>
      <c r="J111" s="16">
        <v>0.77672726701141004</v>
      </c>
    </row>
    <row r="112" spans="1:10" x14ac:dyDescent="0.3">
      <c r="A112" s="7" t="s">
        <v>118</v>
      </c>
      <c r="B112" s="7" t="s">
        <v>383</v>
      </c>
      <c r="C112" s="7" t="s">
        <v>260</v>
      </c>
      <c r="D112" s="7" t="s">
        <v>268</v>
      </c>
      <c r="E112" s="7" t="s">
        <v>264</v>
      </c>
      <c r="F112" s="7">
        <v>66</v>
      </c>
      <c r="G112" s="19">
        <v>12751375</v>
      </c>
      <c r="H112" s="15">
        <v>0.25</v>
      </c>
      <c r="I112" s="7">
        <v>1101</v>
      </c>
      <c r="J112" s="16">
        <v>0.91226869920631026</v>
      </c>
    </row>
    <row r="113" spans="1:10" x14ac:dyDescent="0.3">
      <c r="A113" s="7" t="s">
        <v>119</v>
      </c>
      <c r="B113" s="7" t="s">
        <v>384</v>
      </c>
      <c r="C113" s="7" t="s">
        <v>258</v>
      </c>
      <c r="D113" s="7" t="s">
        <v>268</v>
      </c>
      <c r="E113" s="7" t="s">
        <v>262</v>
      </c>
      <c r="F113" s="7">
        <v>7</v>
      </c>
      <c r="G113" s="19">
        <v>469543</v>
      </c>
      <c r="H113" s="15">
        <v>0.01</v>
      </c>
      <c r="I113" s="7">
        <v>68</v>
      </c>
      <c r="J113" s="16">
        <v>0.76871075732428396</v>
      </c>
    </row>
    <row r="114" spans="1:10" x14ac:dyDescent="0.3">
      <c r="A114" s="7" t="s">
        <v>120</v>
      </c>
      <c r="B114" s="7" t="s">
        <v>385</v>
      </c>
      <c r="C114" s="7" t="s">
        <v>259</v>
      </c>
      <c r="D114" s="7" t="s">
        <v>270</v>
      </c>
      <c r="E114" s="7" t="s">
        <v>264</v>
      </c>
      <c r="F114" s="7">
        <v>29</v>
      </c>
      <c r="G114" s="19">
        <v>850056</v>
      </c>
      <c r="H114" s="15">
        <v>0.15</v>
      </c>
      <c r="I114" s="7">
        <v>250</v>
      </c>
      <c r="J114" s="16">
        <v>0.89272123666257996</v>
      </c>
    </row>
    <row r="115" spans="1:10" x14ac:dyDescent="0.3">
      <c r="A115" s="7" t="s">
        <v>121</v>
      </c>
      <c r="B115" s="7" t="s">
        <v>386</v>
      </c>
      <c r="C115" s="7" t="s">
        <v>259</v>
      </c>
      <c r="D115" s="7" t="s">
        <v>263</v>
      </c>
      <c r="E115" s="7" t="s">
        <v>267</v>
      </c>
      <c r="F115" s="7">
        <v>33</v>
      </c>
      <c r="G115" s="19">
        <v>1873271</v>
      </c>
      <c r="H115" s="15">
        <v>0.04</v>
      </c>
      <c r="I115" s="7">
        <v>348</v>
      </c>
      <c r="J115" s="16">
        <v>0.77036132368560761</v>
      </c>
    </row>
    <row r="116" spans="1:10" x14ac:dyDescent="0.3">
      <c r="A116" s="7" t="s">
        <v>122</v>
      </c>
      <c r="B116" s="7" t="s">
        <v>387</v>
      </c>
      <c r="C116" s="7" t="s">
        <v>260</v>
      </c>
      <c r="D116" s="7" t="s">
        <v>268</v>
      </c>
      <c r="E116" s="7" t="s">
        <v>267</v>
      </c>
      <c r="F116" s="7">
        <v>34</v>
      </c>
      <c r="G116" s="19">
        <v>4279280</v>
      </c>
      <c r="H116" s="15">
        <v>0.2</v>
      </c>
      <c r="I116" s="7">
        <v>374</v>
      </c>
      <c r="J116" s="16">
        <v>0.93237821911193164</v>
      </c>
    </row>
    <row r="117" spans="1:10" x14ac:dyDescent="0.3">
      <c r="A117" s="7" t="s">
        <v>123</v>
      </c>
      <c r="B117" s="7" t="s">
        <v>388</v>
      </c>
      <c r="C117" s="7" t="s">
        <v>260</v>
      </c>
      <c r="D117" s="7" t="s">
        <v>270</v>
      </c>
      <c r="E117" s="7" t="s">
        <v>269</v>
      </c>
      <c r="F117" s="7">
        <v>52</v>
      </c>
      <c r="G117" s="19">
        <v>3681388</v>
      </c>
      <c r="H117" s="15">
        <v>0.3</v>
      </c>
      <c r="I117" s="7">
        <v>1629</v>
      </c>
      <c r="J117" s="16">
        <v>0.91809919455415556</v>
      </c>
    </row>
    <row r="118" spans="1:10" x14ac:dyDescent="0.3">
      <c r="A118" s="7" t="s">
        <v>124</v>
      </c>
      <c r="B118" s="7" t="s">
        <v>389</v>
      </c>
      <c r="C118" s="7" t="s">
        <v>260</v>
      </c>
      <c r="D118" s="7" t="s">
        <v>270</v>
      </c>
      <c r="E118" s="7" t="s">
        <v>269</v>
      </c>
      <c r="F118" s="7">
        <v>42</v>
      </c>
      <c r="G118" s="19">
        <v>7360416</v>
      </c>
      <c r="H118" s="15">
        <v>0.2</v>
      </c>
      <c r="I118" s="7">
        <v>1177</v>
      </c>
      <c r="J118" s="16">
        <v>0.95540324799049969</v>
      </c>
    </row>
    <row r="119" spans="1:10" x14ac:dyDescent="0.3">
      <c r="A119" s="7" t="s">
        <v>125</v>
      </c>
      <c r="B119" s="7" t="s">
        <v>390</v>
      </c>
      <c r="C119" s="7" t="s">
        <v>259</v>
      </c>
      <c r="D119" s="7" t="s">
        <v>261</v>
      </c>
      <c r="E119" s="7" t="s">
        <v>267</v>
      </c>
      <c r="F119" s="7">
        <v>51</v>
      </c>
      <c r="G119" s="19">
        <v>2272418</v>
      </c>
      <c r="H119" s="15">
        <v>0.19</v>
      </c>
      <c r="I119" s="7">
        <v>121</v>
      </c>
      <c r="J119" s="16">
        <v>0.80407075007834128</v>
      </c>
    </row>
    <row r="120" spans="1:10" x14ac:dyDescent="0.3">
      <c r="A120" s="7" t="s">
        <v>126</v>
      </c>
      <c r="B120" s="7" t="s">
        <v>391</v>
      </c>
      <c r="C120" s="7" t="s">
        <v>258</v>
      </c>
      <c r="D120" s="7" t="s">
        <v>268</v>
      </c>
      <c r="E120" s="7" t="s">
        <v>262</v>
      </c>
      <c r="F120" s="7">
        <v>44</v>
      </c>
      <c r="G120" s="19">
        <v>364092</v>
      </c>
      <c r="H120" s="15">
        <v>0.06</v>
      </c>
      <c r="I120" s="7">
        <v>29</v>
      </c>
      <c r="J120" s="16">
        <v>0.66094784381407246</v>
      </c>
    </row>
    <row r="121" spans="1:10" x14ac:dyDescent="0.3">
      <c r="A121" s="7" t="s">
        <v>127</v>
      </c>
      <c r="B121" s="7" t="s">
        <v>392</v>
      </c>
      <c r="C121" s="7" t="s">
        <v>260</v>
      </c>
      <c r="D121" s="7" t="s">
        <v>268</v>
      </c>
      <c r="E121" s="7" t="s">
        <v>266</v>
      </c>
      <c r="F121" s="7">
        <v>27</v>
      </c>
      <c r="G121" s="19">
        <v>8850318</v>
      </c>
      <c r="H121" s="15">
        <v>0.3</v>
      </c>
      <c r="I121" s="7">
        <v>1236</v>
      </c>
      <c r="J121" s="16">
        <v>0.84931011781226995</v>
      </c>
    </row>
    <row r="122" spans="1:10" x14ac:dyDescent="0.3">
      <c r="A122" s="7" t="s">
        <v>128</v>
      </c>
      <c r="B122" s="7" t="s">
        <v>393</v>
      </c>
      <c r="C122" s="7" t="s">
        <v>258</v>
      </c>
      <c r="D122" s="7" t="s">
        <v>270</v>
      </c>
      <c r="E122" s="7" t="s">
        <v>266</v>
      </c>
      <c r="F122" s="7">
        <v>20</v>
      </c>
      <c r="G122" s="19">
        <v>157867</v>
      </c>
      <c r="H122" s="15">
        <v>0.01</v>
      </c>
      <c r="I122" s="7">
        <v>6</v>
      </c>
      <c r="J122" s="16">
        <v>0.51189952225760338</v>
      </c>
    </row>
    <row r="123" spans="1:10" x14ac:dyDescent="0.3">
      <c r="A123" s="7" t="s">
        <v>129</v>
      </c>
      <c r="B123" s="7" t="s">
        <v>394</v>
      </c>
      <c r="C123" s="7" t="s">
        <v>260</v>
      </c>
      <c r="D123" s="7" t="s">
        <v>271</v>
      </c>
      <c r="E123" s="7" t="s">
        <v>267</v>
      </c>
      <c r="F123" s="7">
        <v>70</v>
      </c>
      <c r="G123" s="19">
        <v>9611647</v>
      </c>
      <c r="H123" s="15">
        <v>0.34</v>
      </c>
      <c r="I123" s="7">
        <v>1195</v>
      </c>
      <c r="J123" s="16">
        <v>0.95884743366348557</v>
      </c>
    </row>
    <row r="124" spans="1:10" x14ac:dyDescent="0.3">
      <c r="A124" s="7" t="s">
        <v>130</v>
      </c>
      <c r="B124" s="7" t="s">
        <v>395</v>
      </c>
      <c r="C124" s="7" t="s">
        <v>260</v>
      </c>
      <c r="D124" s="7" t="s">
        <v>270</v>
      </c>
      <c r="E124" s="7" t="s">
        <v>266</v>
      </c>
      <c r="F124" s="7">
        <v>71</v>
      </c>
      <c r="G124" s="19">
        <v>7657089</v>
      </c>
      <c r="H124" s="15">
        <v>0.28000000000000003</v>
      </c>
      <c r="I124" s="7">
        <v>769</v>
      </c>
      <c r="J124" s="16">
        <v>0.85692493950155901</v>
      </c>
    </row>
    <row r="125" spans="1:10" x14ac:dyDescent="0.3">
      <c r="A125" s="7" t="s">
        <v>131</v>
      </c>
      <c r="B125" s="7" t="s">
        <v>396</v>
      </c>
      <c r="C125" s="7" t="s">
        <v>259</v>
      </c>
      <c r="D125" s="7" t="s">
        <v>268</v>
      </c>
      <c r="E125" s="7" t="s">
        <v>267</v>
      </c>
      <c r="F125" s="7">
        <v>19</v>
      </c>
      <c r="G125" s="19">
        <v>2466129</v>
      </c>
      <c r="H125" s="15">
        <v>0.15</v>
      </c>
      <c r="I125" s="7">
        <v>84</v>
      </c>
      <c r="J125" s="16">
        <v>0.88936268548069275</v>
      </c>
    </row>
    <row r="126" spans="1:10" x14ac:dyDescent="0.3">
      <c r="A126" s="7" t="s">
        <v>132</v>
      </c>
      <c r="B126" s="7" t="s">
        <v>397</v>
      </c>
      <c r="C126" s="7" t="s">
        <v>259</v>
      </c>
      <c r="D126" s="7" t="s">
        <v>265</v>
      </c>
      <c r="E126" s="7" t="s">
        <v>269</v>
      </c>
      <c r="F126" s="7">
        <v>27</v>
      </c>
      <c r="G126" s="19">
        <v>1700014</v>
      </c>
      <c r="H126" s="15">
        <v>0.02</v>
      </c>
      <c r="I126" s="7">
        <v>150</v>
      </c>
      <c r="J126" s="16">
        <v>0.77415453453038241</v>
      </c>
    </row>
    <row r="127" spans="1:10" x14ac:dyDescent="0.3">
      <c r="A127" s="7" t="s">
        <v>133</v>
      </c>
      <c r="B127" s="7" t="s">
        <v>398</v>
      </c>
      <c r="C127" s="7" t="s">
        <v>260</v>
      </c>
      <c r="D127" s="7" t="s">
        <v>270</v>
      </c>
      <c r="E127" s="7" t="s">
        <v>267</v>
      </c>
      <c r="F127" s="7">
        <v>47</v>
      </c>
      <c r="G127" s="19">
        <v>14354241</v>
      </c>
      <c r="H127" s="15">
        <v>0.34</v>
      </c>
      <c r="I127" s="7">
        <v>920</v>
      </c>
      <c r="J127" s="16">
        <v>0.85099566743927513</v>
      </c>
    </row>
    <row r="128" spans="1:10" x14ac:dyDescent="0.3">
      <c r="A128" s="7" t="s">
        <v>134</v>
      </c>
      <c r="B128" s="7" t="s">
        <v>399</v>
      </c>
      <c r="C128" s="7" t="s">
        <v>259</v>
      </c>
      <c r="D128" s="7" t="s">
        <v>261</v>
      </c>
      <c r="E128" s="7" t="s">
        <v>266</v>
      </c>
      <c r="F128" s="7">
        <v>55</v>
      </c>
      <c r="G128" s="19">
        <v>1889392</v>
      </c>
      <c r="H128" s="15">
        <v>0.02</v>
      </c>
      <c r="I128" s="7">
        <v>281</v>
      </c>
      <c r="J128" s="16">
        <v>0.76121833847535814</v>
      </c>
    </row>
    <row r="129" spans="1:10" x14ac:dyDescent="0.3">
      <c r="A129" s="7" t="s">
        <v>135</v>
      </c>
      <c r="B129" s="7" t="s">
        <v>400</v>
      </c>
      <c r="C129" s="7" t="s">
        <v>258</v>
      </c>
      <c r="D129" s="7" t="s">
        <v>271</v>
      </c>
      <c r="E129" s="7" t="s">
        <v>266</v>
      </c>
      <c r="F129" s="7">
        <v>46</v>
      </c>
      <c r="G129" s="19">
        <v>440839</v>
      </c>
      <c r="H129" s="15">
        <v>0.01</v>
      </c>
      <c r="I129" s="7">
        <v>41</v>
      </c>
      <c r="J129" s="16">
        <v>0.73703292321326996</v>
      </c>
    </row>
    <row r="130" spans="1:10" x14ac:dyDescent="0.3">
      <c r="A130" s="7" t="s">
        <v>136</v>
      </c>
      <c r="B130" s="7" t="s">
        <v>401</v>
      </c>
      <c r="C130" s="7" t="s">
        <v>258</v>
      </c>
      <c r="D130" s="7" t="s">
        <v>265</v>
      </c>
      <c r="E130" s="7" t="s">
        <v>262</v>
      </c>
      <c r="F130" s="7">
        <v>7</v>
      </c>
      <c r="G130" s="19">
        <v>355148</v>
      </c>
      <c r="H130" s="15">
        <v>0.02</v>
      </c>
      <c r="I130" s="7">
        <v>72</v>
      </c>
      <c r="J130" s="16">
        <v>0.57033151248979941</v>
      </c>
    </row>
    <row r="131" spans="1:10" x14ac:dyDescent="0.3">
      <c r="A131" s="7" t="s">
        <v>137</v>
      </c>
      <c r="B131" s="7" t="s">
        <v>402</v>
      </c>
      <c r="C131" s="7" t="s">
        <v>259</v>
      </c>
      <c r="D131" s="7" t="s">
        <v>271</v>
      </c>
      <c r="E131" s="7" t="s">
        <v>264</v>
      </c>
      <c r="F131" s="7">
        <v>19</v>
      </c>
      <c r="G131" s="19">
        <v>1435273</v>
      </c>
      <c r="H131" s="15">
        <v>0.17</v>
      </c>
      <c r="I131" s="7">
        <v>296</v>
      </c>
      <c r="J131" s="16">
        <v>0.76071004409415999</v>
      </c>
    </row>
    <row r="132" spans="1:10" x14ac:dyDescent="0.3">
      <c r="A132" s="7" t="s">
        <v>138</v>
      </c>
      <c r="B132" s="7" t="s">
        <v>403</v>
      </c>
      <c r="C132" s="7" t="s">
        <v>260</v>
      </c>
      <c r="D132" s="7" t="s">
        <v>265</v>
      </c>
      <c r="E132" s="7" t="s">
        <v>269</v>
      </c>
      <c r="F132" s="7">
        <v>48</v>
      </c>
      <c r="G132" s="19">
        <v>6797885</v>
      </c>
      <c r="H132" s="15">
        <v>0.24</v>
      </c>
      <c r="I132" s="7">
        <v>1465</v>
      </c>
      <c r="J132" s="16">
        <v>0.89239177325096608</v>
      </c>
    </row>
    <row r="133" spans="1:10" x14ac:dyDescent="0.3">
      <c r="A133" s="7" t="s">
        <v>139</v>
      </c>
      <c r="B133" s="7" t="s">
        <v>404</v>
      </c>
      <c r="C133" s="7" t="s">
        <v>258</v>
      </c>
      <c r="D133" s="7" t="s">
        <v>271</v>
      </c>
      <c r="E133" s="7" t="s">
        <v>262</v>
      </c>
      <c r="F133" s="7">
        <v>12</v>
      </c>
      <c r="G133" s="19">
        <v>292290</v>
      </c>
      <c r="H133" s="15">
        <v>0.06</v>
      </c>
      <c r="I133" s="7">
        <v>29</v>
      </c>
      <c r="J133" s="16">
        <v>0.81497810251384251</v>
      </c>
    </row>
    <row r="134" spans="1:10" x14ac:dyDescent="0.3">
      <c r="A134" s="7" t="s">
        <v>140</v>
      </c>
      <c r="B134" s="7" t="s">
        <v>405</v>
      </c>
      <c r="C134" s="7" t="s">
        <v>260</v>
      </c>
      <c r="D134" s="7" t="s">
        <v>265</v>
      </c>
      <c r="E134" s="7" t="s">
        <v>269</v>
      </c>
      <c r="F134" s="7">
        <v>33</v>
      </c>
      <c r="G134" s="19">
        <v>8199742</v>
      </c>
      <c r="H134" s="15">
        <v>0.27</v>
      </c>
      <c r="I134" s="7">
        <v>1906</v>
      </c>
      <c r="J134" s="16">
        <v>0.82778309739715839</v>
      </c>
    </row>
    <row r="135" spans="1:10" x14ac:dyDescent="0.3">
      <c r="A135" s="7" t="s">
        <v>141</v>
      </c>
      <c r="B135" s="7" t="s">
        <v>406</v>
      </c>
      <c r="C135" s="7" t="s">
        <v>260</v>
      </c>
      <c r="D135" s="7" t="s">
        <v>270</v>
      </c>
      <c r="E135" s="7" t="s">
        <v>267</v>
      </c>
      <c r="F135" s="7">
        <v>28</v>
      </c>
      <c r="G135" s="19">
        <v>13113550</v>
      </c>
      <c r="H135" s="15">
        <v>0.16</v>
      </c>
      <c r="I135" s="7">
        <v>802</v>
      </c>
      <c r="J135" s="16">
        <v>0.81207332959321643</v>
      </c>
    </row>
    <row r="136" spans="1:10" x14ac:dyDescent="0.3">
      <c r="A136" s="7" t="s">
        <v>142</v>
      </c>
      <c r="B136" s="7" t="s">
        <v>407</v>
      </c>
      <c r="C136" s="7" t="s">
        <v>258</v>
      </c>
      <c r="D136" s="7" t="s">
        <v>261</v>
      </c>
      <c r="E136" s="7" t="s">
        <v>267</v>
      </c>
      <c r="F136" s="7">
        <v>31</v>
      </c>
      <c r="G136" s="19">
        <v>357993</v>
      </c>
      <c r="H136" s="15">
        <v>0.04</v>
      </c>
      <c r="I136" s="7">
        <v>37</v>
      </c>
      <c r="J136" s="16">
        <v>0.82651290058391447</v>
      </c>
    </row>
    <row r="137" spans="1:10" x14ac:dyDescent="0.3">
      <c r="A137" s="7" t="s">
        <v>143</v>
      </c>
      <c r="B137" s="7" t="s">
        <v>408</v>
      </c>
      <c r="C137" s="7" t="s">
        <v>258</v>
      </c>
      <c r="D137" s="7" t="s">
        <v>271</v>
      </c>
      <c r="E137" s="7" t="s">
        <v>267</v>
      </c>
      <c r="F137" s="7">
        <v>31</v>
      </c>
      <c r="G137" s="19">
        <v>520743</v>
      </c>
      <c r="H137" s="15">
        <v>0.08</v>
      </c>
      <c r="I137" s="7">
        <v>38</v>
      </c>
      <c r="J137" s="16">
        <v>0.55670266303517013</v>
      </c>
    </row>
    <row r="138" spans="1:10" x14ac:dyDescent="0.3">
      <c r="A138" s="7" t="s">
        <v>144</v>
      </c>
      <c r="B138" s="7" t="s">
        <v>409</v>
      </c>
      <c r="C138" s="7" t="s">
        <v>260</v>
      </c>
      <c r="D138" s="7" t="s">
        <v>270</v>
      </c>
      <c r="E138" s="7" t="s">
        <v>269</v>
      </c>
      <c r="F138" s="7">
        <v>66</v>
      </c>
      <c r="G138" s="19">
        <v>5808288</v>
      </c>
      <c r="H138" s="15">
        <v>0.13</v>
      </c>
      <c r="I138" s="7">
        <v>534</v>
      </c>
      <c r="J138" s="16">
        <v>0.83294285633389653</v>
      </c>
    </row>
    <row r="139" spans="1:10" x14ac:dyDescent="0.3">
      <c r="A139" s="7" t="s">
        <v>145</v>
      </c>
      <c r="B139" s="7" t="s">
        <v>410</v>
      </c>
      <c r="C139" s="7" t="s">
        <v>258</v>
      </c>
      <c r="D139" s="7" t="s">
        <v>271</v>
      </c>
      <c r="E139" s="7" t="s">
        <v>269</v>
      </c>
      <c r="F139" s="7">
        <v>30</v>
      </c>
      <c r="G139" s="19">
        <v>142001</v>
      </c>
      <c r="H139" s="15">
        <v>0.05</v>
      </c>
      <c r="I139" s="7">
        <v>71</v>
      </c>
      <c r="J139" s="16">
        <v>0.81634303804059494</v>
      </c>
    </row>
    <row r="140" spans="1:10" x14ac:dyDescent="0.3">
      <c r="A140" s="7" t="s">
        <v>146</v>
      </c>
      <c r="B140" s="7" t="s">
        <v>411</v>
      </c>
      <c r="C140" s="7" t="s">
        <v>260</v>
      </c>
      <c r="D140" s="7" t="s">
        <v>271</v>
      </c>
      <c r="E140" s="7" t="s">
        <v>266</v>
      </c>
      <c r="F140" s="7">
        <v>66</v>
      </c>
      <c r="G140" s="19">
        <v>5295299</v>
      </c>
      <c r="H140" s="15">
        <v>0.32</v>
      </c>
      <c r="I140" s="7">
        <v>914</v>
      </c>
      <c r="J140" s="16">
        <v>0.85308190144219875</v>
      </c>
    </row>
    <row r="141" spans="1:10" x14ac:dyDescent="0.3">
      <c r="A141" s="7" t="s">
        <v>147</v>
      </c>
      <c r="B141" s="7" t="s">
        <v>412</v>
      </c>
      <c r="C141" s="7" t="s">
        <v>259</v>
      </c>
      <c r="D141" s="7" t="s">
        <v>263</v>
      </c>
      <c r="E141" s="7" t="s">
        <v>264</v>
      </c>
      <c r="F141" s="7">
        <v>57</v>
      </c>
      <c r="G141" s="19">
        <v>1686506</v>
      </c>
      <c r="H141" s="15">
        <v>0.05</v>
      </c>
      <c r="I141" s="7">
        <v>244</v>
      </c>
      <c r="J141" s="16">
        <v>0.82933224310193321</v>
      </c>
    </row>
    <row r="142" spans="1:10" x14ac:dyDescent="0.3">
      <c r="A142" s="7" t="s">
        <v>148</v>
      </c>
      <c r="B142" s="7" t="s">
        <v>413</v>
      </c>
      <c r="C142" s="7" t="s">
        <v>258</v>
      </c>
      <c r="D142" s="7" t="s">
        <v>261</v>
      </c>
      <c r="E142" s="7" t="s">
        <v>269</v>
      </c>
      <c r="F142" s="7">
        <v>26</v>
      </c>
      <c r="G142" s="19">
        <v>305505</v>
      </c>
      <c r="H142" s="15">
        <v>7.0000000000000007E-2</v>
      </c>
      <c r="I142" s="7">
        <v>65</v>
      </c>
      <c r="J142" s="16">
        <v>0.70579547479230131</v>
      </c>
    </row>
    <row r="143" spans="1:10" x14ac:dyDescent="0.3">
      <c r="A143" s="7" t="s">
        <v>149</v>
      </c>
      <c r="B143" s="7" t="s">
        <v>414</v>
      </c>
      <c r="C143" s="7" t="s">
        <v>258</v>
      </c>
      <c r="D143" s="7" t="s">
        <v>270</v>
      </c>
      <c r="E143" s="7" t="s">
        <v>264</v>
      </c>
      <c r="F143" s="7">
        <v>35</v>
      </c>
      <c r="G143" s="19">
        <v>448289</v>
      </c>
      <c r="H143" s="15">
        <v>0.04</v>
      </c>
      <c r="I143" s="7">
        <v>64</v>
      </c>
      <c r="J143" s="16">
        <v>0.71922491308319625</v>
      </c>
    </row>
    <row r="144" spans="1:10" x14ac:dyDescent="0.3">
      <c r="A144" s="7" t="s">
        <v>150</v>
      </c>
      <c r="B144" s="7" t="s">
        <v>415</v>
      </c>
      <c r="C144" s="7" t="s">
        <v>259</v>
      </c>
      <c r="D144" s="7" t="s">
        <v>261</v>
      </c>
      <c r="E144" s="7" t="s">
        <v>267</v>
      </c>
      <c r="F144" s="7">
        <v>55</v>
      </c>
      <c r="G144" s="19">
        <v>1544039</v>
      </c>
      <c r="H144" s="15">
        <v>0.06</v>
      </c>
      <c r="I144" s="7">
        <v>318</v>
      </c>
      <c r="J144" s="16">
        <v>0.72493183067385247</v>
      </c>
    </row>
    <row r="145" spans="1:10" x14ac:dyDescent="0.3">
      <c r="A145" s="7" t="s">
        <v>151</v>
      </c>
      <c r="B145" s="7" t="s">
        <v>416</v>
      </c>
      <c r="C145" s="7" t="s">
        <v>258</v>
      </c>
      <c r="D145" s="7" t="s">
        <v>265</v>
      </c>
      <c r="E145" s="7" t="s">
        <v>264</v>
      </c>
      <c r="F145" s="7">
        <v>42</v>
      </c>
      <c r="G145" s="19">
        <v>342982</v>
      </c>
      <c r="H145" s="15">
        <v>0.04</v>
      </c>
      <c r="I145" s="7">
        <v>60</v>
      </c>
      <c r="J145" s="16">
        <v>0.54260856984338912</v>
      </c>
    </row>
    <row r="146" spans="1:10" x14ac:dyDescent="0.3">
      <c r="A146" s="7" t="s">
        <v>152</v>
      </c>
      <c r="B146" s="7" t="s">
        <v>417</v>
      </c>
      <c r="C146" s="7" t="s">
        <v>259</v>
      </c>
      <c r="D146" s="7" t="s">
        <v>265</v>
      </c>
      <c r="E146" s="7" t="s">
        <v>267</v>
      </c>
      <c r="F146" s="7">
        <v>19</v>
      </c>
      <c r="G146" s="19">
        <v>2456840</v>
      </c>
      <c r="H146" s="15">
        <v>0.06</v>
      </c>
      <c r="I146" s="7">
        <v>72</v>
      </c>
      <c r="J146" s="16">
        <v>0.83995801819274973</v>
      </c>
    </row>
    <row r="147" spans="1:10" x14ac:dyDescent="0.3">
      <c r="A147" s="7" t="s">
        <v>153</v>
      </c>
      <c r="B147" s="7" t="s">
        <v>418</v>
      </c>
      <c r="C147" s="7" t="s">
        <v>260</v>
      </c>
      <c r="D147" s="7" t="s">
        <v>270</v>
      </c>
      <c r="E147" s="7" t="s">
        <v>262</v>
      </c>
      <c r="F147" s="7">
        <v>19</v>
      </c>
      <c r="G147" s="19">
        <v>14367020</v>
      </c>
      <c r="H147" s="15">
        <v>0.27</v>
      </c>
      <c r="I147" s="7">
        <v>1816</v>
      </c>
      <c r="J147" s="16">
        <v>0.76596885257820602</v>
      </c>
    </row>
    <row r="148" spans="1:10" x14ac:dyDescent="0.3">
      <c r="A148" s="7" t="s">
        <v>154</v>
      </c>
      <c r="B148" s="7" t="s">
        <v>419</v>
      </c>
      <c r="C148" s="7" t="s">
        <v>259</v>
      </c>
      <c r="D148" s="7" t="s">
        <v>263</v>
      </c>
      <c r="E148" s="7" t="s">
        <v>264</v>
      </c>
      <c r="F148" s="7">
        <v>48</v>
      </c>
      <c r="G148" s="19">
        <v>733259</v>
      </c>
      <c r="H148" s="15">
        <v>0</v>
      </c>
      <c r="I148" s="7">
        <v>374</v>
      </c>
      <c r="J148" s="16">
        <v>0.71178619072614902</v>
      </c>
    </row>
    <row r="149" spans="1:10" x14ac:dyDescent="0.3">
      <c r="A149" s="7" t="s">
        <v>155</v>
      </c>
      <c r="B149" s="7" t="s">
        <v>420</v>
      </c>
      <c r="C149" s="7" t="s">
        <v>259</v>
      </c>
      <c r="D149" s="7" t="s">
        <v>271</v>
      </c>
      <c r="E149" s="7" t="s">
        <v>264</v>
      </c>
      <c r="F149" s="7">
        <v>43</v>
      </c>
      <c r="G149" s="19">
        <v>661601</v>
      </c>
      <c r="H149" s="15">
        <v>7.0000000000000007E-2</v>
      </c>
      <c r="I149" s="7">
        <v>250</v>
      </c>
      <c r="J149" s="16">
        <v>0.84723777437594172</v>
      </c>
    </row>
    <row r="150" spans="1:10" x14ac:dyDescent="0.3">
      <c r="A150" s="7" t="s">
        <v>156</v>
      </c>
      <c r="B150" s="7" t="s">
        <v>421</v>
      </c>
      <c r="C150" s="7" t="s">
        <v>259</v>
      </c>
      <c r="D150" s="7" t="s">
        <v>265</v>
      </c>
      <c r="E150" s="7" t="s">
        <v>267</v>
      </c>
      <c r="F150" s="7">
        <v>39</v>
      </c>
      <c r="G150" s="19">
        <v>2194594</v>
      </c>
      <c r="H150" s="15">
        <v>0.2</v>
      </c>
      <c r="I150" s="7">
        <v>230</v>
      </c>
      <c r="J150" s="16">
        <v>0.7168241521692843</v>
      </c>
    </row>
    <row r="151" spans="1:10" x14ac:dyDescent="0.3">
      <c r="A151" s="7" t="s">
        <v>157</v>
      </c>
      <c r="B151" s="7" t="s">
        <v>422</v>
      </c>
      <c r="C151" s="7" t="s">
        <v>260</v>
      </c>
      <c r="D151" s="7" t="s">
        <v>271</v>
      </c>
      <c r="E151" s="7" t="s">
        <v>262</v>
      </c>
      <c r="F151" s="7">
        <v>23</v>
      </c>
      <c r="G151" s="19">
        <v>9707322</v>
      </c>
      <c r="H151" s="15">
        <v>0.14000000000000001</v>
      </c>
      <c r="I151" s="7">
        <v>1014</v>
      </c>
      <c r="J151" s="16">
        <v>0.75978425291286467</v>
      </c>
    </row>
    <row r="152" spans="1:10" x14ac:dyDescent="0.3">
      <c r="A152" s="7" t="s">
        <v>158</v>
      </c>
      <c r="B152" s="7" t="s">
        <v>423</v>
      </c>
      <c r="C152" s="7" t="s">
        <v>260</v>
      </c>
      <c r="D152" s="7" t="s">
        <v>265</v>
      </c>
      <c r="E152" s="7" t="s">
        <v>269</v>
      </c>
      <c r="F152" s="7">
        <v>21</v>
      </c>
      <c r="G152" s="19">
        <v>7722904</v>
      </c>
      <c r="H152" s="15">
        <v>0.34</v>
      </c>
      <c r="I152" s="7">
        <v>1812</v>
      </c>
      <c r="J152" s="16">
        <v>0.78353599514403216</v>
      </c>
    </row>
    <row r="153" spans="1:10" x14ac:dyDescent="0.3">
      <c r="A153" s="7" t="s">
        <v>159</v>
      </c>
      <c r="B153" s="7" t="s">
        <v>424</v>
      </c>
      <c r="C153" s="7" t="s">
        <v>260</v>
      </c>
      <c r="D153" s="7" t="s">
        <v>271</v>
      </c>
      <c r="E153" s="7" t="s">
        <v>264</v>
      </c>
      <c r="F153" s="7">
        <v>16</v>
      </c>
      <c r="G153" s="19">
        <v>9556471</v>
      </c>
      <c r="H153" s="15">
        <v>0.25</v>
      </c>
      <c r="I153" s="7">
        <v>1458</v>
      </c>
      <c r="J153" s="16">
        <v>0.80578043945320099</v>
      </c>
    </row>
    <row r="154" spans="1:10" x14ac:dyDescent="0.3">
      <c r="A154" s="7" t="s">
        <v>160</v>
      </c>
      <c r="B154" s="7" t="s">
        <v>425</v>
      </c>
      <c r="C154" s="7" t="s">
        <v>259</v>
      </c>
      <c r="D154" s="7" t="s">
        <v>268</v>
      </c>
      <c r="E154" s="7" t="s">
        <v>264</v>
      </c>
      <c r="F154" s="7">
        <v>45</v>
      </c>
      <c r="G154" s="19">
        <v>2421186</v>
      </c>
      <c r="H154" s="15">
        <v>0</v>
      </c>
      <c r="I154" s="7">
        <v>267</v>
      </c>
      <c r="J154" s="16">
        <v>0.70924011343081317</v>
      </c>
    </row>
    <row r="155" spans="1:10" x14ac:dyDescent="0.3">
      <c r="A155" s="7" t="s">
        <v>161</v>
      </c>
      <c r="B155" s="7" t="s">
        <v>426</v>
      </c>
      <c r="C155" s="7" t="s">
        <v>258</v>
      </c>
      <c r="D155" s="7" t="s">
        <v>268</v>
      </c>
      <c r="E155" s="7" t="s">
        <v>264</v>
      </c>
      <c r="F155" s="7">
        <v>14</v>
      </c>
      <c r="G155" s="19">
        <v>587645</v>
      </c>
      <c r="H155" s="15">
        <v>0.04</v>
      </c>
      <c r="I155" s="7">
        <v>77</v>
      </c>
      <c r="J155" s="16">
        <v>0.77723332713192328</v>
      </c>
    </row>
    <row r="156" spans="1:10" x14ac:dyDescent="0.3">
      <c r="A156" s="7" t="s">
        <v>162</v>
      </c>
      <c r="B156" s="7" t="s">
        <v>427</v>
      </c>
      <c r="C156" s="7" t="s">
        <v>260</v>
      </c>
      <c r="D156" s="7" t="s">
        <v>268</v>
      </c>
      <c r="E156" s="7" t="s">
        <v>266</v>
      </c>
      <c r="F156" s="7">
        <v>13</v>
      </c>
      <c r="G156" s="19">
        <v>6392209</v>
      </c>
      <c r="H156" s="15">
        <v>0.32</v>
      </c>
      <c r="I156" s="7">
        <v>1321</v>
      </c>
      <c r="J156" s="16">
        <v>0.79132400184014973</v>
      </c>
    </row>
    <row r="157" spans="1:10" x14ac:dyDescent="0.3">
      <c r="A157" s="7" t="s">
        <v>163</v>
      </c>
      <c r="B157" s="7" t="s">
        <v>428</v>
      </c>
      <c r="C157" s="7" t="s">
        <v>258</v>
      </c>
      <c r="D157" s="7" t="s">
        <v>268</v>
      </c>
      <c r="E157" s="7" t="s">
        <v>266</v>
      </c>
      <c r="F157" s="7">
        <v>35</v>
      </c>
      <c r="G157" s="19">
        <v>146792</v>
      </c>
      <c r="H157" s="15">
        <v>0</v>
      </c>
      <c r="I157" s="7">
        <v>5</v>
      </c>
      <c r="J157" s="16">
        <v>0.65541698779149027</v>
      </c>
    </row>
    <row r="158" spans="1:10" x14ac:dyDescent="0.3">
      <c r="A158" s="7" t="s">
        <v>164</v>
      </c>
      <c r="B158" s="7" t="s">
        <v>429</v>
      </c>
      <c r="C158" s="7" t="s">
        <v>258</v>
      </c>
      <c r="D158" s="7" t="s">
        <v>263</v>
      </c>
      <c r="E158" s="7" t="s">
        <v>267</v>
      </c>
      <c r="F158" s="7">
        <v>36</v>
      </c>
      <c r="G158" s="19">
        <v>162085</v>
      </c>
      <c r="H158" s="15">
        <v>0.09</v>
      </c>
      <c r="I158" s="7">
        <v>25</v>
      </c>
      <c r="J158" s="16">
        <v>0.76555060905139416</v>
      </c>
    </row>
    <row r="159" spans="1:10" x14ac:dyDescent="0.3">
      <c r="A159" s="7" t="s">
        <v>165</v>
      </c>
      <c r="B159" s="7" t="s">
        <v>430</v>
      </c>
      <c r="C159" s="7" t="s">
        <v>259</v>
      </c>
      <c r="D159" s="7" t="s">
        <v>261</v>
      </c>
      <c r="E159" s="7" t="s">
        <v>266</v>
      </c>
      <c r="F159" s="7">
        <v>16</v>
      </c>
      <c r="G159" s="19">
        <v>1848335</v>
      </c>
      <c r="H159" s="15">
        <v>0.09</v>
      </c>
      <c r="I159" s="7">
        <v>196</v>
      </c>
      <c r="J159" s="16">
        <v>0.77621681258590913</v>
      </c>
    </row>
    <row r="160" spans="1:10" x14ac:dyDescent="0.3">
      <c r="A160" s="7" t="s">
        <v>166</v>
      </c>
      <c r="B160" s="7" t="s">
        <v>431</v>
      </c>
      <c r="C160" s="7" t="s">
        <v>260</v>
      </c>
      <c r="D160" s="7" t="s">
        <v>271</v>
      </c>
      <c r="E160" s="7" t="s">
        <v>262</v>
      </c>
      <c r="F160" s="7">
        <v>61</v>
      </c>
      <c r="G160" s="19">
        <v>14870978</v>
      </c>
      <c r="H160" s="15">
        <v>0.24</v>
      </c>
      <c r="I160" s="7">
        <v>506</v>
      </c>
      <c r="J160" s="16">
        <v>0.88611490716946184</v>
      </c>
    </row>
    <row r="161" spans="1:10" x14ac:dyDescent="0.3">
      <c r="A161" s="7" t="s">
        <v>167</v>
      </c>
      <c r="B161" s="7" t="s">
        <v>432</v>
      </c>
      <c r="C161" s="7" t="s">
        <v>260</v>
      </c>
      <c r="D161" s="7" t="s">
        <v>261</v>
      </c>
      <c r="E161" s="7" t="s">
        <v>266</v>
      </c>
      <c r="F161" s="7">
        <v>20</v>
      </c>
      <c r="G161" s="19">
        <v>10292169</v>
      </c>
      <c r="H161" s="15">
        <v>0.33</v>
      </c>
      <c r="I161" s="7">
        <v>1212</v>
      </c>
      <c r="J161" s="16">
        <v>0.76736585495922516</v>
      </c>
    </row>
    <row r="162" spans="1:10" x14ac:dyDescent="0.3">
      <c r="A162" s="7" t="s">
        <v>168</v>
      </c>
      <c r="B162" s="7" t="s">
        <v>433</v>
      </c>
      <c r="C162" s="7" t="s">
        <v>258</v>
      </c>
      <c r="D162" s="7" t="s">
        <v>270</v>
      </c>
      <c r="E162" s="7" t="s">
        <v>264</v>
      </c>
      <c r="F162" s="7">
        <v>21</v>
      </c>
      <c r="G162" s="19">
        <v>168811</v>
      </c>
      <c r="H162" s="15">
        <v>0.08</v>
      </c>
      <c r="I162" s="7">
        <v>42</v>
      </c>
      <c r="J162" s="16">
        <v>0.66463561048975994</v>
      </c>
    </row>
    <row r="163" spans="1:10" x14ac:dyDescent="0.3">
      <c r="A163" s="7" t="s">
        <v>169</v>
      </c>
      <c r="B163" s="7" t="s">
        <v>434</v>
      </c>
      <c r="C163" s="7" t="s">
        <v>258</v>
      </c>
      <c r="D163" s="7" t="s">
        <v>271</v>
      </c>
      <c r="E163" s="7" t="s">
        <v>267</v>
      </c>
      <c r="F163" s="7">
        <v>3</v>
      </c>
      <c r="G163" s="19">
        <v>228430</v>
      </c>
      <c r="H163" s="15">
        <v>0.03</v>
      </c>
      <c r="I163" s="7">
        <v>31</v>
      </c>
      <c r="J163" s="16">
        <v>0.54340574213214055</v>
      </c>
    </row>
    <row r="164" spans="1:10" x14ac:dyDescent="0.3">
      <c r="A164" s="7" t="s">
        <v>170</v>
      </c>
      <c r="B164" s="7" t="s">
        <v>435</v>
      </c>
      <c r="C164" s="7" t="s">
        <v>260</v>
      </c>
      <c r="D164" s="7" t="s">
        <v>263</v>
      </c>
      <c r="E164" s="7" t="s">
        <v>267</v>
      </c>
      <c r="F164" s="7">
        <v>51</v>
      </c>
      <c r="G164" s="19">
        <v>12990752</v>
      </c>
      <c r="H164" s="15">
        <v>0.15</v>
      </c>
      <c r="I164" s="7">
        <v>980</v>
      </c>
      <c r="J164" s="16">
        <v>0.96294126334624375</v>
      </c>
    </row>
    <row r="165" spans="1:10" x14ac:dyDescent="0.3">
      <c r="A165" s="7" t="s">
        <v>171</v>
      </c>
      <c r="B165" s="7" t="s">
        <v>436</v>
      </c>
      <c r="C165" s="7" t="s">
        <v>258</v>
      </c>
      <c r="D165" s="7" t="s">
        <v>261</v>
      </c>
      <c r="E165" s="7" t="s">
        <v>269</v>
      </c>
      <c r="F165" s="7">
        <v>27</v>
      </c>
      <c r="G165" s="19">
        <v>511929</v>
      </c>
      <c r="H165" s="15">
        <v>0.06</v>
      </c>
      <c r="I165" s="7">
        <v>29</v>
      </c>
      <c r="J165" s="16">
        <v>0.73679271328494511</v>
      </c>
    </row>
    <row r="166" spans="1:10" x14ac:dyDescent="0.3">
      <c r="A166" s="7" t="s">
        <v>172</v>
      </c>
      <c r="B166" s="7" t="s">
        <v>437</v>
      </c>
      <c r="C166" s="7" t="s">
        <v>260</v>
      </c>
      <c r="D166" s="7" t="s">
        <v>270</v>
      </c>
      <c r="E166" s="7" t="s">
        <v>262</v>
      </c>
      <c r="F166" s="7">
        <v>66</v>
      </c>
      <c r="G166" s="19">
        <v>2976344</v>
      </c>
      <c r="H166" s="15">
        <v>0.31</v>
      </c>
      <c r="I166" s="7">
        <v>581</v>
      </c>
      <c r="J166" s="16">
        <v>0.86532235219168974</v>
      </c>
    </row>
    <row r="167" spans="1:10" x14ac:dyDescent="0.3">
      <c r="A167" s="7" t="s">
        <v>173</v>
      </c>
      <c r="B167" s="7" t="s">
        <v>438</v>
      </c>
      <c r="C167" s="7" t="s">
        <v>259</v>
      </c>
      <c r="D167" s="7" t="s">
        <v>268</v>
      </c>
      <c r="E167" s="7" t="s">
        <v>266</v>
      </c>
      <c r="F167" s="7">
        <v>48</v>
      </c>
      <c r="G167" s="19">
        <v>1982053</v>
      </c>
      <c r="H167" s="15">
        <v>0.19</v>
      </c>
      <c r="I167" s="7">
        <v>85</v>
      </c>
      <c r="J167" s="16">
        <v>0.81252128031065507</v>
      </c>
    </row>
    <row r="168" spans="1:10" x14ac:dyDescent="0.3">
      <c r="A168" s="7" t="s">
        <v>174</v>
      </c>
      <c r="B168" s="7" t="s">
        <v>439</v>
      </c>
      <c r="C168" s="7" t="s">
        <v>259</v>
      </c>
      <c r="D168" s="7" t="s">
        <v>261</v>
      </c>
      <c r="E168" s="7" t="s">
        <v>267</v>
      </c>
      <c r="F168" s="7">
        <v>41</v>
      </c>
      <c r="G168" s="19">
        <v>1653690</v>
      </c>
      <c r="H168" s="15">
        <v>0.04</v>
      </c>
      <c r="I168" s="7">
        <v>124</v>
      </c>
      <c r="J168" s="16">
        <v>0.77651024416077208</v>
      </c>
    </row>
    <row r="169" spans="1:10" x14ac:dyDescent="0.3">
      <c r="A169" s="7" t="s">
        <v>175</v>
      </c>
      <c r="B169" s="7" t="s">
        <v>440</v>
      </c>
      <c r="C169" s="7" t="s">
        <v>260</v>
      </c>
      <c r="D169" s="7" t="s">
        <v>261</v>
      </c>
      <c r="E169" s="7" t="s">
        <v>266</v>
      </c>
      <c r="F169" s="7">
        <v>26</v>
      </c>
      <c r="G169" s="19">
        <v>10057886</v>
      </c>
      <c r="H169" s="15">
        <v>0.2</v>
      </c>
      <c r="I169" s="7">
        <v>1532</v>
      </c>
      <c r="J169" s="16">
        <v>0.77854084908101762</v>
      </c>
    </row>
    <row r="170" spans="1:10" x14ac:dyDescent="0.3">
      <c r="A170" s="7" t="s">
        <v>176</v>
      </c>
      <c r="B170" s="7" t="s">
        <v>441</v>
      </c>
      <c r="C170" s="7" t="s">
        <v>260</v>
      </c>
      <c r="D170" s="7" t="s">
        <v>268</v>
      </c>
      <c r="E170" s="7" t="s">
        <v>266</v>
      </c>
      <c r="F170" s="7">
        <v>28</v>
      </c>
      <c r="G170" s="19">
        <v>8884691</v>
      </c>
      <c r="H170" s="15">
        <v>0.21</v>
      </c>
      <c r="I170" s="7">
        <v>1306</v>
      </c>
      <c r="J170" s="16">
        <v>0.923825919351417</v>
      </c>
    </row>
    <row r="171" spans="1:10" x14ac:dyDescent="0.3">
      <c r="A171" s="7" t="s">
        <v>177</v>
      </c>
      <c r="B171" s="7" t="s">
        <v>442</v>
      </c>
      <c r="C171" s="7" t="s">
        <v>259</v>
      </c>
      <c r="D171" s="7" t="s">
        <v>268</v>
      </c>
      <c r="E171" s="7" t="s">
        <v>269</v>
      </c>
      <c r="F171" s="7">
        <v>44</v>
      </c>
      <c r="G171" s="19">
        <v>723941</v>
      </c>
      <c r="H171" s="15">
        <v>0.03</v>
      </c>
      <c r="I171" s="7">
        <v>179</v>
      </c>
      <c r="J171" s="16">
        <v>0.72491173956014709</v>
      </c>
    </row>
    <row r="172" spans="1:10" x14ac:dyDescent="0.3">
      <c r="A172" s="7" t="s">
        <v>178</v>
      </c>
      <c r="B172" s="7" t="s">
        <v>443</v>
      </c>
      <c r="C172" s="7" t="s">
        <v>258</v>
      </c>
      <c r="D172" s="7" t="s">
        <v>268</v>
      </c>
      <c r="E172" s="7" t="s">
        <v>266</v>
      </c>
      <c r="F172" s="7">
        <v>19</v>
      </c>
      <c r="G172" s="19">
        <v>550461</v>
      </c>
      <c r="H172" s="15">
        <v>7.0000000000000007E-2</v>
      </c>
      <c r="I172" s="7">
        <v>9</v>
      </c>
      <c r="J172" s="16">
        <v>0.83334829046368086</v>
      </c>
    </row>
    <row r="173" spans="1:10" x14ac:dyDescent="0.3">
      <c r="A173" s="7" t="s">
        <v>179</v>
      </c>
      <c r="B173" s="7" t="s">
        <v>444</v>
      </c>
      <c r="C173" s="7" t="s">
        <v>260</v>
      </c>
      <c r="D173" s="7" t="s">
        <v>268</v>
      </c>
      <c r="E173" s="7" t="s">
        <v>267</v>
      </c>
      <c r="F173" s="7">
        <v>44</v>
      </c>
      <c r="G173" s="19">
        <v>8111340</v>
      </c>
      <c r="H173" s="15">
        <v>0.26</v>
      </c>
      <c r="I173" s="7">
        <v>1415</v>
      </c>
      <c r="J173" s="16">
        <v>0.78857439542437635</v>
      </c>
    </row>
    <row r="174" spans="1:10" x14ac:dyDescent="0.3">
      <c r="A174" s="7" t="s">
        <v>180</v>
      </c>
      <c r="B174" s="7" t="s">
        <v>445</v>
      </c>
      <c r="C174" s="7" t="s">
        <v>260</v>
      </c>
      <c r="D174" s="7" t="s">
        <v>265</v>
      </c>
      <c r="E174" s="7" t="s">
        <v>264</v>
      </c>
      <c r="F174" s="7">
        <v>68</v>
      </c>
      <c r="G174" s="19">
        <v>14088903</v>
      </c>
      <c r="H174" s="15">
        <v>0.17</v>
      </c>
      <c r="I174" s="7">
        <v>1303</v>
      </c>
      <c r="J174" s="16">
        <v>0.83291148408584703</v>
      </c>
    </row>
    <row r="175" spans="1:10" x14ac:dyDescent="0.3">
      <c r="A175" s="7" t="s">
        <v>181</v>
      </c>
      <c r="B175" s="7" t="s">
        <v>446</v>
      </c>
      <c r="C175" s="7" t="s">
        <v>260</v>
      </c>
      <c r="D175" s="7" t="s">
        <v>265</v>
      </c>
      <c r="E175" s="7" t="s">
        <v>267</v>
      </c>
      <c r="F175" s="7">
        <v>35</v>
      </c>
      <c r="G175" s="19">
        <v>7286850</v>
      </c>
      <c r="H175" s="15">
        <v>0.1</v>
      </c>
      <c r="I175" s="7">
        <v>781</v>
      </c>
      <c r="J175" s="16">
        <v>0.89607683820742201</v>
      </c>
    </row>
    <row r="176" spans="1:10" x14ac:dyDescent="0.3">
      <c r="A176" s="7" t="s">
        <v>182</v>
      </c>
      <c r="B176" s="7" t="s">
        <v>447</v>
      </c>
      <c r="C176" s="7" t="s">
        <v>260</v>
      </c>
      <c r="D176" s="7" t="s">
        <v>270</v>
      </c>
      <c r="E176" s="7" t="s">
        <v>266</v>
      </c>
      <c r="F176" s="7">
        <v>22</v>
      </c>
      <c r="G176" s="19">
        <v>2665397</v>
      </c>
      <c r="H176" s="15">
        <v>0.1</v>
      </c>
      <c r="I176" s="7">
        <v>1438</v>
      </c>
      <c r="J176" s="16">
        <v>0.78503334736859154</v>
      </c>
    </row>
    <row r="177" spans="1:10" x14ac:dyDescent="0.3">
      <c r="A177" s="7" t="s">
        <v>183</v>
      </c>
      <c r="B177" s="7" t="s">
        <v>448</v>
      </c>
      <c r="C177" s="7" t="s">
        <v>260</v>
      </c>
      <c r="D177" s="7" t="s">
        <v>261</v>
      </c>
      <c r="E177" s="7" t="s">
        <v>264</v>
      </c>
      <c r="F177" s="7">
        <v>63</v>
      </c>
      <c r="G177" s="19">
        <v>10546871</v>
      </c>
      <c r="H177" s="15">
        <v>0.11</v>
      </c>
      <c r="I177" s="7">
        <v>1769</v>
      </c>
      <c r="J177" s="16">
        <v>0.89041728416298738</v>
      </c>
    </row>
    <row r="178" spans="1:10" x14ac:dyDescent="0.3">
      <c r="A178" s="7" t="s">
        <v>184</v>
      </c>
      <c r="B178" s="7" t="s">
        <v>449</v>
      </c>
      <c r="C178" s="7" t="s">
        <v>259</v>
      </c>
      <c r="D178" s="7" t="s">
        <v>270</v>
      </c>
      <c r="E178" s="7" t="s">
        <v>269</v>
      </c>
      <c r="F178" s="7">
        <v>37</v>
      </c>
      <c r="G178" s="19">
        <v>650420</v>
      </c>
      <c r="H178" s="15">
        <v>0.18</v>
      </c>
      <c r="I178" s="7">
        <v>113</v>
      </c>
      <c r="J178" s="16">
        <v>0.80003832470229774</v>
      </c>
    </row>
    <row r="179" spans="1:10" x14ac:dyDescent="0.3">
      <c r="A179" s="7" t="s">
        <v>185</v>
      </c>
      <c r="B179" s="7" t="s">
        <v>450</v>
      </c>
      <c r="C179" s="7" t="s">
        <v>258</v>
      </c>
      <c r="D179" s="7" t="s">
        <v>265</v>
      </c>
      <c r="E179" s="7" t="s">
        <v>267</v>
      </c>
      <c r="F179" s="7">
        <v>25</v>
      </c>
      <c r="G179" s="19">
        <v>273394</v>
      </c>
      <c r="H179" s="15">
        <v>0.06</v>
      </c>
      <c r="I179" s="7">
        <v>53</v>
      </c>
      <c r="J179" s="16">
        <v>0.72101581279241755</v>
      </c>
    </row>
    <row r="180" spans="1:10" x14ac:dyDescent="0.3">
      <c r="A180" s="7" t="s">
        <v>186</v>
      </c>
      <c r="B180" s="7" t="s">
        <v>451</v>
      </c>
      <c r="C180" s="7" t="s">
        <v>259</v>
      </c>
      <c r="D180" s="7" t="s">
        <v>271</v>
      </c>
      <c r="E180" s="7" t="s">
        <v>266</v>
      </c>
      <c r="F180" s="7">
        <v>30</v>
      </c>
      <c r="G180" s="19">
        <v>766091</v>
      </c>
      <c r="H180" s="15">
        <v>0.15</v>
      </c>
      <c r="I180" s="7">
        <v>160</v>
      </c>
      <c r="J180" s="16">
        <v>0.74600254058827309</v>
      </c>
    </row>
    <row r="181" spans="1:10" x14ac:dyDescent="0.3">
      <c r="A181" s="7" t="s">
        <v>187</v>
      </c>
      <c r="B181" s="7" t="s">
        <v>452</v>
      </c>
      <c r="C181" s="7" t="s">
        <v>259</v>
      </c>
      <c r="D181" s="7" t="s">
        <v>271</v>
      </c>
      <c r="E181" s="7" t="s">
        <v>269</v>
      </c>
      <c r="F181" s="7">
        <v>13</v>
      </c>
      <c r="G181" s="19">
        <v>2254987</v>
      </c>
      <c r="H181" s="15">
        <v>0.01</v>
      </c>
      <c r="I181" s="7">
        <v>270</v>
      </c>
      <c r="J181" s="16">
        <v>0.81131834316848672</v>
      </c>
    </row>
    <row r="182" spans="1:10" x14ac:dyDescent="0.3">
      <c r="A182" s="7" t="s">
        <v>188</v>
      </c>
      <c r="B182" s="7" t="s">
        <v>453</v>
      </c>
      <c r="C182" s="7" t="s">
        <v>258</v>
      </c>
      <c r="D182" s="7" t="s">
        <v>270</v>
      </c>
      <c r="E182" s="7" t="s">
        <v>269</v>
      </c>
      <c r="F182" s="7">
        <v>13</v>
      </c>
      <c r="G182" s="19">
        <v>223626</v>
      </c>
      <c r="H182" s="15">
        <v>0.1</v>
      </c>
      <c r="I182" s="7">
        <v>26</v>
      </c>
      <c r="J182" s="16">
        <v>0.75924793209393249</v>
      </c>
    </row>
    <row r="183" spans="1:10" x14ac:dyDescent="0.3">
      <c r="A183" s="7" t="s">
        <v>189</v>
      </c>
      <c r="B183" s="7" t="s">
        <v>454</v>
      </c>
      <c r="C183" s="7" t="s">
        <v>260</v>
      </c>
      <c r="D183" s="7" t="s">
        <v>271</v>
      </c>
      <c r="E183" s="7" t="s">
        <v>269</v>
      </c>
      <c r="F183" s="7">
        <v>21</v>
      </c>
      <c r="G183" s="19">
        <v>6262064</v>
      </c>
      <c r="H183" s="15">
        <v>0.28000000000000003</v>
      </c>
      <c r="I183" s="7">
        <v>717</v>
      </c>
      <c r="J183" s="16">
        <v>0.81943432263216798</v>
      </c>
    </row>
    <row r="184" spans="1:10" x14ac:dyDescent="0.3">
      <c r="A184" s="7" t="s">
        <v>190</v>
      </c>
      <c r="B184" s="7" t="s">
        <v>455</v>
      </c>
      <c r="C184" s="7" t="s">
        <v>258</v>
      </c>
      <c r="D184" s="7" t="s">
        <v>270</v>
      </c>
      <c r="E184" s="7" t="s">
        <v>266</v>
      </c>
      <c r="F184" s="7">
        <v>13</v>
      </c>
      <c r="G184" s="19">
        <v>511810</v>
      </c>
      <c r="H184" s="15">
        <v>0.05</v>
      </c>
      <c r="I184" s="7">
        <v>66</v>
      </c>
      <c r="J184" s="16">
        <v>0.81588309628814182</v>
      </c>
    </row>
    <row r="185" spans="1:10" x14ac:dyDescent="0.3">
      <c r="A185" s="7" t="s">
        <v>191</v>
      </c>
      <c r="B185" s="7" t="s">
        <v>456</v>
      </c>
      <c r="C185" s="7" t="s">
        <v>260</v>
      </c>
      <c r="D185" s="7" t="s">
        <v>265</v>
      </c>
      <c r="E185" s="7" t="s">
        <v>269</v>
      </c>
      <c r="F185" s="7">
        <v>59</v>
      </c>
      <c r="G185" s="19">
        <v>12743180</v>
      </c>
      <c r="H185" s="15">
        <v>0.28000000000000003</v>
      </c>
      <c r="I185" s="7">
        <v>1783</v>
      </c>
      <c r="J185" s="16">
        <v>0.84599220085684257</v>
      </c>
    </row>
    <row r="186" spans="1:10" x14ac:dyDescent="0.3">
      <c r="A186" s="7" t="s">
        <v>192</v>
      </c>
      <c r="B186" s="7" t="s">
        <v>457</v>
      </c>
      <c r="C186" s="7" t="s">
        <v>260</v>
      </c>
      <c r="D186" s="7" t="s">
        <v>268</v>
      </c>
      <c r="E186" s="7" t="s">
        <v>266</v>
      </c>
      <c r="F186" s="7">
        <v>54</v>
      </c>
      <c r="G186" s="19">
        <v>5150124</v>
      </c>
      <c r="H186" s="15">
        <v>0.13</v>
      </c>
      <c r="I186" s="7">
        <v>1355</v>
      </c>
      <c r="J186" s="16">
        <v>0.89235911227963971</v>
      </c>
    </row>
    <row r="187" spans="1:10" x14ac:dyDescent="0.3">
      <c r="A187" s="7" t="s">
        <v>193</v>
      </c>
      <c r="B187" s="7" t="s">
        <v>458</v>
      </c>
      <c r="C187" s="7" t="s">
        <v>258</v>
      </c>
      <c r="D187" s="7" t="s">
        <v>270</v>
      </c>
      <c r="E187" s="7" t="s">
        <v>267</v>
      </c>
      <c r="F187" s="7">
        <v>11</v>
      </c>
      <c r="G187" s="19">
        <v>596214</v>
      </c>
      <c r="H187" s="15">
        <v>0.08</v>
      </c>
      <c r="I187" s="7">
        <v>45</v>
      </c>
      <c r="J187" s="16">
        <v>0.83952845903497075</v>
      </c>
    </row>
    <row r="188" spans="1:10" x14ac:dyDescent="0.3">
      <c r="A188" s="7" t="s">
        <v>194</v>
      </c>
      <c r="B188" s="7" t="s">
        <v>459</v>
      </c>
      <c r="C188" s="7" t="s">
        <v>258</v>
      </c>
      <c r="D188" s="7" t="s">
        <v>261</v>
      </c>
      <c r="E188" s="7" t="s">
        <v>267</v>
      </c>
      <c r="F188" s="7">
        <v>40</v>
      </c>
      <c r="G188" s="19">
        <v>363045</v>
      </c>
      <c r="H188" s="15">
        <v>0.05</v>
      </c>
      <c r="I188" s="7">
        <v>31</v>
      </c>
      <c r="J188" s="16">
        <v>0.60090478450923979</v>
      </c>
    </row>
    <row r="189" spans="1:10" x14ac:dyDescent="0.3">
      <c r="A189" s="7" t="s">
        <v>195</v>
      </c>
      <c r="B189" s="7" t="s">
        <v>460</v>
      </c>
      <c r="C189" s="7" t="s">
        <v>258</v>
      </c>
      <c r="D189" s="7" t="s">
        <v>270</v>
      </c>
      <c r="E189" s="7" t="s">
        <v>262</v>
      </c>
      <c r="F189" s="7">
        <v>27</v>
      </c>
      <c r="G189" s="19">
        <v>168147</v>
      </c>
      <c r="H189" s="15">
        <v>0.05</v>
      </c>
      <c r="I189" s="7">
        <v>50</v>
      </c>
      <c r="J189" s="16">
        <v>0.61351036221909661</v>
      </c>
    </row>
    <row r="190" spans="1:10" x14ac:dyDescent="0.3">
      <c r="A190" s="7" t="s">
        <v>196</v>
      </c>
      <c r="B190" s="7" t="s">
        <v>461</v>
      </c>
      <c r="C190" s="7" t="s">
        <v>259</v>
      </c>
      <c r="D190" s="7" t="s">
        <v>270</v>
      </c>
      <c r="E190" s="7" t="s">
        <v>264</v>
      </c>
      <c r="F190" s="7">
        <v>19</v>
      </c>
      <c r="G190" s="19">
        <v>2240615</v>
      </c>
      <c r="H190" s="15">
        <v>0.03</v>
      </c>
      <c r="I190" s="7">
        <v>230</v>
      </c>
      <c r="J190" s="16">
        <v>0.76711009930541074</v>
      </c>
    </row>
    <row r="191" spans="1:10" x14ac:dyDescent="0.3">
      <c r="A191" s="7" t="s">
        <v>197</v>
      </c>
      <c r="B191" s="7" t="s">
        <v>462</v>
      </c>
      <c r="C191" s="7" t="s">
        <v>258</v>
      </c>
      <c r="D191" s="7" t="s">
        <v>263</v>
      </c>
      <c r="E191" s="7" t="s">
        <v>266</v>
      </c>
      <c r="F191" s="7">
        <v>30</v>
      </c>
      <c r="G191" s="19">
        <v>323913</v>
      </c>
      <c r="H191" s="15">
        <v>0.05</v>
      </c>
      <c r="I191" s="7">
        <v>77</v>
      </c>
      <c r="J191" s="16">
        <v>0.75471138610100086</v>
      </c>
    </row>
    <row r="192" spans="1:10" x14ac:dyDescent="0.3">
      <c r="A192" s="7" t="s">
        <v>198</v>
      </c>
      <c r="B192" s="7" t="s">
        <v>463</v>
      </c>
      <c r="C192" s="7" t="s">
        <v>259</v>
      </c>
      <c r="D192" s="7" t="s">
        <v>268</v>
      </c>
      <c r="E192" s="7" t="s">
        <v>267</v>
      </c>
      <c r="F192" s="7">
        <v>28</v>
      </c>
      <c r="G192" s="19">
        <v>1250439</v>
      </c>
      <c r="H192" s="15">
        <v>0.19</v>
      </c>
      <c r="I192" s="7">
        <v>290</v>
      </c>
      <c r="J192" s="16">
        <v>0.70688275381844845</v>
      </c>
    </row>
    <row r="193" spans="1:10" x14ac:dyDescent="0.3">
      <c r="A193" s="7" t="s">
        <v>199</v>
      </c>
      <c r="B193" s="7" t="s">
        <v>464</v>
      </c>
      <c r="C193" s="7" t="s">
        <v>259</v>
      </c>
      <c r="D193" s="7" t="s">
        <v>261</v>
      </c>
      <c r="E193" s="7" t="s">
        <v>264</v>
      </c>
      <c r="F193" s="7">
        <v>32</v>
      </c>
      <c r="G193" s="19">
        <v>1009221</v>
      </c>
      <c r="H193" s="15">
        <v>0.06</v>
      </c>
      <c r="I193" s="7">
        <v>63</v>
      </c>
      <c r="J193" s="16">
        <v>0.77258943371389432</v>
      </c>
    </row>
    <row r="194" spans="1:10" x14ac:dyDescent="0.3">
      <c r="A194" s="7" t="s">
        <v>200</v>
      </c>
      <c r="B194" s="7" t="s">
        <v>465</v>
      </c>
      <c r="C194" s="7" t="s">
        <v>258</v>
      </c>
      <c r="D194" s="7" t="s">
        <v>265</v>
      </c>
      <c r="E194" s="7" t="s">
        <v>266</v>
      </c>
      <c r="F194" s="7">
        <v>27</v>
      </c>
      <c r="G194" s="19">
        <v>538460</v>
      </c>
      <c r="H194" s="15">
        <v>0.02</v>
      </c>
      <c r="I194" s="7">
        <v>39</v>
      </c>
      <c r="J194" s="16">
        <v>0.77702043064811765</v>
      </c>
    </row>
    <row r="195" spans="1:10" x14ac:dyDescent="0.3">
      <c r="A195" s="7" t="s">
        <v>201</v>
      </c>
      <c r="B195" s="7" t="s">
        <v>466</v>
      </c>
      <c r="C195" s="7" t="s">
        <v>259</v>
      </c>
      <c r="D195" s="7" t="s">
        <v>265</v>
      </c>
      <c r="E195" s="7" t="s">
        <v>264</v>
      </c>
      <c r="F195" s="7">
        <v>30</v>
      </c>
      <c r="G195" s="19">
        <v>636727</v>
      </c>
      <c r="H195" s="15">
        <v>0.16</v>
      </c>
      <c r="I195" s="7">
        <v>55</v>
      </c>
      <c r="J195" s="16">
        <v>0.71022858400541011</v>
      </c>
    </row>
    <row r="196" spans="1:10" x14ac:dyDescent="0.3">
      <c r="A196" s="7" t="s">
        <v>202</v>
      </c>
      <c r="B196" s="7" t="s">
        <v>467</v>
      </c>
      <c r="C196" s="7" t="s">
        <v>258</v>
      </c>
      <c r="D196" s="7" t="s">
        <v>263</v>
      </c>
      <c r="E196" s="7" t="s">
        <v>264</v>
      </c>
      <c r="F196" s="7">
        <v>11</v>
      </c>
      <c r="G196" s="19">
        <v>258172</v>
      </c>
      <c r="H196" s="15">
        <v>7.0000000000000007E-2</v>
      </c>
      <c r="I196" s="7">
        <v>29</v>
      </c>
      <c r="J196" s="16">
        <v>0.54397276097507152</v>
      </c>
    </row>
    <row r="197" spans="1:10" x14ac:dyDescent="0.3">
      <c r="A197" s="7" t="s">
        <v>203</v>
      </c>
      <c r="B197" s="7" t="s">
        <v>468</v>
      </c>
      <c r="C197" s="7" t="s">
        <v>260</v>
      </c>
      <c r="D197" s="7" t="s">
        <v>270</v>
      </c>
      <c r="E197" s="7" t="s">
        <v>269</v>
      </c>
      <c r="F197" s="7">
        <v>22</v>
      </c>
      <c r="G197" s="19">
        <v>9032723</v>
      </c>
      <c r="H197" s="15">
        <v>0.17</v>
      </c>
      <c r="I197" s="7">
        <v>508</v>
      </c>
      <c r="J197" s="16">
        <v>0.81646100774433494</v>
      </c>
    </row>
    <row r="198" spans="1:10" x14ac:dyDescent="0.3">
      <c r="A198" s="7" t="s">
        <v>204</v>
      </c>
      <c r="B198" s="7" t="s">
        <v>469</v>
      </c>
      <c r="C198" s="7" t="s">
        <v>260</v>
      </c>
      <c r="D198" s="7" t="s">
        <v>261</v>
      </c>
      <c r="E198" s="7" t="s">
        <v>269</v>
      </c>
      <c r="F198" s="7">
        <v>19</v>
      </c>
      <c r="G198" s="19">
        <v>8120242</v>
      </c>
      <c r="H198" s="15">
        <v>0.14000000000000001</v>
      </c>
      <c r="I198" s="7">
        <v>1681</v>
      </c>
      <c r="J198" s="16">
        <v>0.95057169744811321</v>
      </c>
    </row>
    <row r="199" spans="1:10" x14ac:dyDescent="0.3">
      <c r="A199" s="7" t="s">
        <v>205</v>
      </c>
      <c r="B199" s="7" t="s">
        <v>470</v>
      </c>
      <c r="C199" s="7" t="s">
        <v>258</v>
      </c>
      <c r="D199" s="7" t="s">
        <v>265</v>
      </c>
      <c r="E199" s="7" t="s">
        <v>269</v>
      </c>
      <c r="F199" s="7">
        <v>20</v>
      </c>
      <c r="G199" s="19">
        <v>326807</v>
      </c>
      <c r="H199" s="15">
        <v>0.02</v>
      </c>
      <c r="I199" s="7">
        <v>46</v>
      </c>
      <c r="J199" s="16">
        <v>0.79984040339243656</v>
      </c>
    </row>
    <row r="200" spans="1:10" x14ac:dyDescent="0.3">
      <c r="A200" s="7" t="s">
        <v>206</v>
      </c>
      <c r="B200" s="7" t="s">
        <v>471</v>
      </c>
      <c r="C200" s="7" t="s">
        <v>258</v>
      </c>
      <c r="D200" s="7" t="s">
        <v>271</v>
      </c>
      <c r="E200" s="7" t="s">
        <v>269</v>
      </c>
      <c r="F200" s="7">
        <v>43</v>
      </c>
      <c r="G200" s="19">
        <v>163112</v>
      </c>
      <c r="H200" s="15">
        <v>0.1</v>
      </c>
      <c r="I200" s="7">
        <v>63</v>
      </c>
      <c r="J200" s="16">
        <v>0.72530599034247756</v>
      </c>
    </row>
    <row r="201" spans="1:10" x14ac:dyDescent="0.3">
      <c r="A201" s="7" t="s">
        <v>207</v>
      </c>
      <c r="B201" s="7" t="s">
        <v>472</v>
      </c>
      <c r="C201" s="7" t="s">
        <v>260</v>
      </c>
      <c r="D201" s="7" t="s">
        <v>261</v>
      </c>
      <c r="E201" s="7" t="s">
        <v>264</v>
      </c>
      <c r="F201" s="7">
        <v>57</v>
      </c>
      <c r="G201" s="19">
        <v>12647070</v>
      </c>
      <c r="H201" s="15">
        <v>0.28000000000000003</v>
      </c>
      <c r="I201" s="7">
        <v>789</v>
      </c>
      <c r="J201" s="16">
        <v>0.93417604059031822</v>
      </c>
    </row>
    <row r="202" spans="1:10" x14ac:dyDescent="0.3">
      <c r="A202" s="7" t="s">
        <v>208</v>
      </c>
      <c r="B202" s="7" t="s">
        <v>473</v>
      </c>
      <c r="C202" s="7" t="s">
        <v>260</v>
      </c>
      <c r="D202" s="7" t="s">
        <v>268</v>
      </c>
      <c r="E202" s="7" t="s">
        <v>262</v>
      </c>
      <c r="F202" s="7">
        <v>43</v>
      </c>
      <c r="G202" s="19">
        <v>7578959</v>
      </c>
      <c r="H202" s="15">
        <v>0.32</v>
      </c>
      <c r="I202" s="7">
        <v>490</v>
      </c>
      <c r="J202" s="16">
        <v>0.95303820625852631</v>
      </c>
    </row>
    <row r="203" spans="1:10" x14ac:dyDescent="0.3">
      <c r="A203" s="7" t="s">
        <v>209</v>
      </c>
      <c r="B203" s="7" t="s">
        <v>474</v>
      </c>
      <c r="C203" s="7" t="s">
        <v>259</v>
      </c>
      <c r="D203" s="7" t="s">
        <v>270</v>
      </c>
      <c r="E203" s="7" t="s">
        <v>269</v>
      </c>
      <c r="F203" s="7">
        <v>48</v>
      </c>
      <c r="G203" s="19">
        <v>1522008</v>
      </c>
      <c r="H203" s="15">
        <v>0.04</v>
      </c>
      <c r="I203" s="7">
        <v>73</v>
      </c>
      <c r="J203" s="16">
        <v>0.89335033069395342</v>
      </c>
    </row>
    <row r="204" spans="1:10" x14ac:dyDescent="0.3">
      <c r="A204" s="7" t="s">
        <v>210</v>
      </c>
      <c r="B204" s="7" t="s">
        <v>475</v>
      </c>
      <c r="C204" s="7" t="s">
        <v>260</v>
      </c>
      <c r="D204" s="7" t="s">
        <v>270</v>
      </c>
      <c r="E204" s="7" t="s">
        <v>267</v>
      </c>
      <c r="F204" s="7">
        <v>59</v>
      </c>
      <c r="G204" s="19">
        <v>9187990</v>
      </c>
      <c r="H204" s="15">
        <v>0.14000000000000001</v>
      </c>
      <c r="I204" s="7">
        <v>1181</v>
      </c>
      <c r="J204" s="16">
        <v>0.90082284694096193</v>
      </c>
    </row>
    <row r="205" spans="1:10" x14ac:dyDescent="0.3">
      <c r="A205" s="7" t="s">
        <v>211</v>
      </c>
      <c r="B205" s="7" t="s">
        <v>476</v>
      </c>
      <c r="C205" s="7" t="s">
        <v>258</v>
      </c>
      <c r="D205" s="7" t="s">
        <v>268</v>
      </c>
      <c r="E205" s="7" t="s">
        <v>266</v>
      </c>
      <c r="F205" s="7">
        <v>26</v>
      </c>
      <c r="G205" s="19">
        <v>193834</v>
      </c>
      <c r="H205" s="15">
        <v>7.0000000000000007E-2</v>
      </c>
      <c r="I205" s="7">
        <v>79</v>
      </c>
      <c r="J205" s="16">
        <v>0.72771396421824153</v>
      </c>
    </row>
    <row r="206" spans="1:10" x14ac:dyDescent="0.3">
      <c r="A206" s="7" t="s">
        <v>212</v>
      </c>
      <c r="B206" s="7" t="s">
        <v>477</v>
      </c>
      <c r="C206" s="7" t="s">
        <v>258</v>
      </c>
      <c r="D206" s="7" t="s">
        <v>270</v>
      </c>
      <c r="E206" s="7" t="s">
        <v>269</v>
      </c>
      <c r="F206" s="7">
        <v>10</v>
      </c>
      <c r="G206" s="19">
        <v>198124</v>
      </c>
      <c r="H206" s="15">
        <v>7.0000000000000007E-2</v>
      </c>
      <c r="I206" s="7">
        <v>76</v>
      </c>
      <c r="J206" s="16">
        <v>0.67929974496037715</v>
      </c>
    </row>
    <row r="207" spans="1:10" x14ac:dyDescent="0.3">
      <c r="A207" s="7" t="s">
        <v>213</v>
      </c>
      <c r="B207" s="7" t="s">
        <v>478</v>
      </c>
      <c r="C207" s="7" t="s">
        <v>259</v>
      </c>
      <c r="D207" s="7" t="s">
        <v>268</v>
      </c>
      <c r="E207" s="7" t="s">
        <v>264</v>
      </c>
      <c r="F207" s="7">
        <v>10</v>
      </c>
      <c r="G207" s="19">
        <v>770039</v>
      </c>
      <c r="H207" s="15">
        <v>0.1</v>
      </c>
      <c r="I207" s="7">
        <v>350</v>
      </c>
      <c r="J207" s="16">
        <v>0.77767664896991517</v>
      </c>
    </row>
    <row r="208" spans="1:10" x14ac:dyDescent="0.3">
      <c r="A208" s="7" t="s">
        <v>214</v>
      </c>
      <c r="B208" s="7" t="s">
        <v>479</v>
      </c>
      <c r="C208" s="7" t="s">
        <v>260</v>
      </c>
      <c r="D208" s="7" t="s">
        <v>265</v>
      </c>
      <c r="E208" s="7" t="s">
        <v>264</v>
      </c>
      <c r="F208" s="7">
        <v>26</v>
      </c>
      <c r="G208" s="19">
        <v>3465507</v>
      </c>
      <c r="H208" s="15">
        <v>0.31</v>
      </c>
      <c r="I208" s="7">
        <v>512</v>
      </c>
      <c r="J208" s="16">
        <v>0.79883852106766962</v>
      </c>
    </row>
    <row r="209" spans="1:10" x14ac:dyDescent="0.3">
      <c r="A209" s="7" t="s">
        <v>215</v>
      </c>
      <c r="B209" s="7" t="s">
        <v>480</v>
      </c>
      <c r="C209" s="7" t="s">
        <v>259</v>
      </c>
      <c r="D209" s="7" t="s">
        <v>265</v>
      </c>
      <c r="E209" s="7" t="s">
        <v>267</v>
      </c>
      <c r="F209" s="7">
        <v>31</v>
      </c>
      <c r="G209" s="19">
        <v>1536164</v>
      </c>
      <c r="H209" s="15">
        <v>0.12</v>
      </c>
      <c r="I209" s="7">
        <v>326</v>
      </c>
      <c r="J209" s="16">
        <v>0.8865717922248566</v>
      </c>
    </row>
    <row r="210" spans="1:10" x14ac:dyDescent="0.3">
      <c r="A210" s="7" t="s">
        <v>216</v>
      </c>
      <c r="B210" s="7" t="s">
        <v>481</v>
      </c>
      <c r="C210" s="7" t="s">
        <v>258</v>
      </c>
      <c r="D210" s="7" t="s">
        <v>268</v>
      </c>
      <c r="E210" s="7" t="s">
        <v>266</v>
      </c>
      <c r="F210" s="7">
        <v>28</v>
      </c>
      <c r="G210" s="19">
        <v>238469</v>
      </c>
      <c r="H210" s="15">
        <v>0.01</v>
      </c>
      <c r="I210" s="7">
        <v>68</v>
      </c>
      <c r="J210" s="16">
        <v>0.66686451299845884</v>
      </c>
    </row>
    <row r="211" spans="1:10" x14ac:dyDescent="0.3">
      <c r="A211" s="7" t="s">
        <v>217</v>
      </c>
      <c r="B211" s="7" t="s">
        <v>482</v>
      </c>
      <c r="C211" s="7" t="s">
        <v>258</v>
      </c>
      <c r="D211" s="7" t="s">
        <v>261</v>
      </c>
      <c r="E211" s="7" t="s">
        <v>269</v>
      </c>
      <c r="F211" s="7">
        <v>38</v>
      </c>
      <c r="G211" s="19">
        <v>224441</v>
      </c>
      <c r="H211" s="15">
        <v>0.03</v>
      </c>
      <c r="I211" s="7">
        <v>53</v>
      </c>
      <c r="J211" s="16">
        <v>0.73222702936216233</v>
      </c>
    </row>
    <row r="212" spans="1:10" x14ac:dyDescent="0.3">
      <c r="A212" s="7" t="s">
        <v>218</v>
      </c>
      <c r="B212" s="7" t="s">
        <v>483</v>
      </c>
      <c r="C212" s="7" t="s">
        <v>258</v>
      </c>
      <c r="D212" s="7" t="s">
        <v>268</v>
      </c>
      <c r="E212" s="7" t="s">
        <v>269</v>
      </c>
      <c r="F212" s="7">
        <v>34</v>
      </c>
      <c r="G212" s="19">
        <v>262329</v>
      </c>
      <c r="H212" s="15">
        <v>0.06</v>
      </c>
      <c r="I212" s="7">
        <v>78</v>
      </c>
      <c r="J212" s="16">
        <v>0.5546105129127491</v>
      </c>
    </row>
    <row r="213" spans="1:10" x14ac:dyDescent="0.3">
      <c r="A213" s="7" t="s">
        <v>219</v>
      </c>
      <c r="B213" s="7" t="s">
        <v>484</v>
      </c>
      <c r="C213" s="7" t="s">
        <v>260</v>
      </c>
      <c r="D213" s="7" t="s">
        <v>268</v>
      </c>
      <c r="E213" s="7" t="s">
        <v>262</v>
      </c>
      <c r="F213" s="7">
        <v>44</v>
      </c>
      <c r="G213" s="19">
        <v>5965959</v>
      </c>
      <c r="H213" s="15">
        <v>0.2</v>
      </c>
      <c r="I213" s="7">
        <v>1819</v>
      </c>
      <c r="J213" s="16">
        <v>0.7524176519829564</v>
      </c>
    </row>
    <row r="214" spans="1:10" x14ac:dyDescent="0.3">
      <c r="A214" s="7" t="s">
        <v>220</v>
      </c>
      <c r="B214" s="7" t="s">
        <v>485</v>
      </c>
      <c r="C214" s="7" t="s">
        <v>258</v>
      </c>
      <c r="D214" s="7" t="s">
        <v>263</v>
      </c>
      <c r="E214" s="7" t="s">
        <v>264</v>
      </c>
      <c r="F214" s="7">
        <v>15</v>
      </c>
      <c r="G214" s="19">
        <v>341560</v>
      </c>
      <c r="H214" s="15">
        <v>7.0000000000000007E-2</v>
      </c>
      <c r="I214" s="7">
        <v>32</v>
      </c>
      <c r="J214" s="16">
        <v>0.63697808106537968</v>
      </c>
    </row>
    <row r="215" spans="1:10" x14ac:dyDescent="0.3">
      <c r="A215" s="7" t="s">
        <v>221</v>
      </c>
      <c r="B215" s="7" t="s">
        <v>486</v>
      </c>
      <c r="C215" s="7" t="s">
        <v>260</v>
      </c>
      <c r="D215" s="7" t="s">
        <v>261</v>
      </c>
      <c r="E215" s="7" t="s">
        <v>264</v>
      </c>
      <c r="F215" s="7">
        <v>13</v>
      </c>
      <c r="G215" s="19">
        <v>5456470</v>
      </c>
      <c r="H215" s="15">
        <v>0.3</v>
      </c>
      <c r="I215" s="7">
        <v>856</v>
      </c>
      <c r="J215" s="16">
        <v>0.82466249473121056</v>
      </c>
    </row>
    <row r="216" spans="1:10" x14ac:dyDescent="0.3">
      <c r="A216" s="7" t="s">
        <v>222</v>
      </c>
      <c r="B216" s="7" t="s">
        <v>487</v>
      </c>
      <c r="C216" s="7" t="s">
        <v>259</v>
      </c>
      <c r="D216" s="7" t="s">
        <v>263</v>
      </c>
      <c r="E216" s="7" t="s">
        <v>269</v>
      </c>
      <c r="F216" s="7">
        <v>14</v>
      </c>
      <c r="G216" s="19">
        <v>1655630</v>
      </c>
      <c r="H216" s="15">
        <v>0.01</v>
      </c>
      <c r="I216" s="7">
        <v>273</v>
      </c>
      <c r="J216" s="16">
        <v>0.86525159842549759</v>
      </c>
    </row>
    <row r="217" spans="1:10" x14ac:dyDescent="0.3">
      <c r="A217" s="7" t="s">
        <v>223</v>
      </c>
      <c r="B217" s="7" t="s">
        <v>488</v>
      </c>
      <c r="C217" s="7" t="s">
        <v>258</v>
      </c>
      <c r="D217" s="7" t="s">
        <v>261</v>
      </c>
      <c r="E217" s="7" t="s">
        <v>262</v>
      </c>
      <c r="F217" s="7">
        <v>37</v>
      </c>
      <c r="G217" s="19">
        <v>502928</v>
      </c>
      <c r="H217" s="15">
        <v>0.02</v>
      </c>
      <c r="I217" s="7">
        <v>75</v>
      </c>
      <c r="J217" s="16">
        <v>0.51148077346674137</v>
      </c>
    </row>
    <row r="218" spans="1:10" x14ac:dyDescent="0.3">
      <c r="A218" s="7" t="s">
        <v>224</v>
      </c>
      <c r="B218" s="7" t="s">
        <v>489</v>
      </c>
      <c r="C218" s="7" t="s">
        <v>260</v>
      </c>
      <c r="D218" s="7" t="s">
        <v>270</v>
      </c>
      <c r="E218" s="7" t="s">
        <v>262</v>
      </c>
      <c r="F218" s="7">
        <v>62</v>
      </c>
      <c r="G218" s="19">
        <v>7849370</v>
      </c>
      <c r="H218" s="15">
        <v>0.19</v>
      </c>
      <c r="I218" s="7">
        <v>769</v>
      </c>
      <c r="J218" s="16">
        <v>0.84013649237807753</v>
      </c>
    </row>
    <row r="219" spans="1:10" x14ac:dyDescent="0.3">
      <c r="A219" s="7" t="s">
        <v>225</v>
      </c>
      <c r="B219" s="7" t="s">
        <v>490</v>
      </c>
      <c r="C219" s="7" t="s">
        <v>260</v>
      </c>
      <c r="D219" s="7" t="s">
        <v>271</v>
      </c>
      <c r="E219" s="7" t="s">
        <v>266</v>
      </c>
      <c r="F219" s="7">
        <v>50</v>
      </c>
      <c r="G219" s="19">
        <v>3826092</v>
      </c>
      <c r="H219" s="15">
        <v>0.22</v>
      </c>
      <c r="I219" s="7">
        <v>1851</v>
      </c>
      <c r="J219" s="16">
        <v>0.94587869858083551</v>
      </c>
    </row>
    <row r="220" spans="1:10" x14ac:dyDescent="0.3">
      <c r="A220" s="7" t="s">
        <v>226</v>
      </c>
      <c r="B220" s="7" t="s">
        <v>491</v>
      </c>
      <c r="C220" s="7" t="s">
        <v>260</v>
      </c>
      <c r="D220" s="7" t="s">
        <v>270</v>
      </c>
      <c r="E220" s="7" t="s">
        <v>266</v>
      </c>
      <c r="F220" s="7">
        <v>62</v>
      </c>
      <c r="G220" s="19">
        <v>11422427</v>
      </c>
      <c r="H220" s="15">
        <v>0.32</v>
      </c>
      <c r="I220" s="7">
        <v>1183</v>
      </c>
      <c r="J220" s="16">
        <v>0.82359375994494888</v>
      </c>
    </row>
    <row r="221" spans="1:10" x14ac:dyDescent="0.3">
      <c r="A221" s="7" t="s">
        <v>227</v>
      </c>
      <c r="B221" s="7" t="s">
        <v>492</v>
      </c>
      <c r="C221" s="7" t="s">
        <v>258</v>
      </c>
      <c r="D221" s="7" t="s">
        <v>270</v>
      </c>
      <c r="E221" s="7" t="s">
        <v>262</v>
      </c>
      <c r="F221" s="7">
        <v>8</v>
      </c>
      <c r="G221" s="19">
        <v>401212</v>
      </c>
      <c r="H221" s="15">
        <v>0.08</v>
      </c>
      <c r="I221" s="7">
        <v>35</v>
      </c>
      <c r="J221" s="16">
        <v>0.5741455280381017</v>
      </c>
    </row>
    <row r="222" spans="1:10" x14ac:dyDescent="0.3">
      <c r="A222" s="7" t="s">
        <v>228</v>
      </c>
      <c r="B222" s="7" t="s">
        <v>493</v>
      </c>
      <c r="C222" s="7" t="s">
        <v>259</v>
      </c>
      <c r="D222" s="7" t="s">
        <v>261</v>
      </c>
      <c r="E222" s="7" t="s">
        <v>269</v>
      </c>
      <c r="F222" s="7">
        <v>46</v>
      </c>
      <c r="G222" s="19">
        <v>1982251</v>
      </c>
      <c r="H222" s="15">
        <v>0.18</v>
      </c>
      <c r="I222" s="7">
        <v>78</v>
      </c>
      <c r="J222" s="16">
        <v>0.74580663610395836</v>
      </c>
    </row>
    <row r="223" spans="1:10" x14ac:dyDescent="0.3">
      <c r="A223" s="7" t="s">
        <v>229</v>
      </c>
      <c r="B223" s="7" t="s">
        <v>494</v>
      </c>
      <c r="C223" s="7" t="s">
        <v>258</v>
      </c>
      <c r="D223" s="7" t="s">
        <v>261</v>
      </c>
      <c r="E223" s="7" t="s">
        <v>266</v>
      </c>
      <c r="F223" s="7">
        <v>32</v>
      </c>
      <c r="G223" s="19">
        <v>584093</v>
      </c>
      <c r="H223" s="15">
        <v>0</v>
      </c>
      <c r="I223" s="7">
        <v>44</v>
      </c>
      <c r="J223" s="16">
        <v>0.55748200987816621</v>
      </c>
    </row>
    <row r="224" spans="1:10" x14ac:dyDescent="0.3">
      <c r="A224" s="7" t="s">
        <v>230</v>
      </c>
      <c r="B224" s="7" t="s">
        <v>495</v>
      </c>
      <c r="C224" s="7" t="s">
        <v>258</v>
      </c>
      <c r="D224" s="7" t="s">
        <v>270</v>
      </c>
      <c r="E224" s="7" t="s">
        <v>266</v>
      </c>
      <c r="F224" s="7">
        <v>32</v>
      </c>
      <c r="G224" s="19">
        <v>339040</v>
      </c>
      <c r="H224" s="15">
        <v>0.1</v>
      </c>
      <c r="I224" s="7">
        <v>21</v>
      </c>
      <c r="J224" s="16">
        <v>0.57307072386021751</v>
      </c>
    </row>
    <row r="225" spans="1:10" x14ac:dyDescent="0.3">
      <c r="A225" s="7" t="s">
        <v>231</v>
      </c>
      <c r="B225" s="7" t="s">
        <v>496</v>
      </c>
      <c r="C225" s="7" t="s">
        <v>259</v>
      </c>
      <c r="D225" s="7" t="s">
        <v>271</v>
      </c>
      <c r="E225" s="7" t="s">
        <v>267</v>
      </c>
      <c r="F225" s="7">
        <v>18</v>
      </c>
      <c r="G225" s="19">
        <v>1914344</v>
      </c>
      <c r="H225" s="15">
        <v>0.13</v>
      </c>
      <c r="I225" s="7">
        <v>108</v>
      </c>
      <c r="J225" s="16">
        <v>0.77192677379316044</v>
      </c>
    </row>
    <row r="226" spans="1:10" x14ac:dyDescent="0.3">
      <c r="A226" s="7" t="s">
        <v>232</v>
      </c>
      <c r="B226" s="7" t="s">
        <v>497</v>
      </c>
      <c r="C226" s="7" t="s">
        <v>260</v>
      </c>
      <c r="D226" s="7" t="s">
        <v>265</v>
      </c>
      <c r="E226" s="7" t="s">
        <v>264</v>
      </c>
      <c r="F226" s="7">
        <v>15</v>
      </c>
      <c r="G226" s="19">
        <v>4387491</v>
      </c>
      <c r="H226" s="15">
        <v>0.11</v>
      </c>
      <c r="I226" s="7">
        <v>1887</v>
      </c>
      <c r="J226" s="16">
        <v>0.76466833828297343</v>
      </c>
    </row>
    <row r="227" spans="1:10" x14ac:dyDescent="0.3">
      <c r="A227" s="7" t="s">
        <v>233</v>
      </c>
      <c r="B227" s="7" t="s">
        <v>498</v>
      </c>
      <c r="C227" s="7" t="s">
        <v>260</v>
      </c>
      <c r="D227" s="7" t="s">
        <v>263</v>
      </c>
      <c r="E227" s="7" t="s">
        <v>266</v>
      </c>
      <c r="F227" s="7">
        <v>25</v>
      </c>
      <c r="G227" s="19">
        <v>4860397</v>
      </c>
      <c r="H227" s="15">
        <v>0.17</v>
      </c>
      <c r="I227" s="7">
        <v>1888</v>
      </c>
      <c r="J227" s="16">
        <v>0.87748085366975459</v>
      </c>
    </row>
    <row r="228" spans="1:10" x14ac:dyDescent="0.3">
      <c r="A228" s="7" t="s">
        <v>234</v>
      </c>
      <c r="B228" s="7" t="s">
        <v>499</v>
      </c>
      <c r="C228" s="7" t="s">
        <v>258</v>
      </c>
      <c r="D228" s="7" t="s">
        <v>265</v>
      </c>
      <c r="E228" s="7" t="s">
        <v>262</v>
      </c>
      <c r="F228" s="7">
        <v>41</v>
      </c>
      <c r="G228" s="19">
        <v>295213</v>
      </c>
      <c r="H228" s="15">
        <v>0.08</v>
      </c>
      <c r="I228" s="7">
        <v>75</v>
      </c>
      <c r="J228" s="16">
        <v>0.75636102320707232</v>
      </c>
    </row>
    <row r="229" spans="1:10" x14ac:dyDescent="0.3">
      <c r="A229" s="7" t="s">
        <v>235</v>
      </c>
      <c r="B229" s="7" t="s">
        <v>500</v>
      </c>
      <c r="C229" s="7" t="s">
        <v>258</v>
      </c>
      <c r="D229" s="7" t="s">
        <v>265</v>
      </c>
      <c r="E229" s="7" t="s">
        <v>262</v>
      </c>
      <c r="F229" s="7">
        <v>4</v>
      </c>
      <c r="G229" s="19">
        <v>398179</v>
      </c>
      <c r="H229" s="15">
        <v>0.01</v>
      </c>
      <c r="I229" s="7">
        <v>6</v>
      </c>
      <c r="J229" s="16">
        <v>0.5019082862912313</v>
      </c>
    </row>
    <row r="230" spans="1:10" x14ac:dyDescent="0.3">
      <c r="A230" s="7" t="s">
        <v>236</v>
      </c>
      <c r="B230" s="7" t="s">
        <v>501</v>
      </c>
      <c r="C230" s="7" t="s">
        <v>259</v>
      </c>
      <c r="D230" s="7" t="s">
        <v>271</v>
      </c>
      <c r="E230" s="7" t="s">
        <v>267</v>
      </c>
      <c r="F230" s="7">
        <v>19</v>
      </c>
      <c r="G230" s="19">
        <v>839896</v>
      </c>
      <c r="H230" s="15">
        <v>0.19</v>
      </c>
      <c r="I230" s="7">
        <v>131</v>
      </c>
      <c r="J230" s="16">
        <v>0.74076340139135788</v>
      </c>
    </row>
    <row r="231" spans="1:10" x14ac:dyDescent="0.3">
      <c r="A231" s="7" t="s">
        <v>237</v>
      </c>
      <c r="B231" s="7" t="s">
        <v>502</v>
      </c>
      <c r="C231" s="7" t="s">
        <v>258</v>
      </c>
      <c r="D231" s="7" t="s">
        <v>261</v>
      </c>
      <c r="E231" s="7" t="s">
        <v>269</v>
      </c>
      <c r="F231" s="7">
        <v>10</v>
      </c>
      <c r="G231" s="19">
        <v>585132</v>
      </c>
      <c r="H231" s="15">
        <v>0</v>
      </c>
      <c r="I231" s="7">
        <v>78</v>
      </c>
      <c r="J231" s="16">
        <v>0.60057748438586656</v>
      </c>
    </row>
    <row r="232" spans="1:10" x14ac:dyDescent="0.3">
      <c r="A232" s="7" t="s">
        <v>238</v>
      </c>
      <c r="B232" s="7" t="s">
        <v>503</v>
      </c>
      <c r="C232" s="7" t="s">
        <v>258</v>
      </c>
      <c r="D232" s="7" t="s">
        <v>265</v>
      </c>
      <c r="E232" s="7" t="s">
        <v>262</v>
      </c>
      <c r="F232" s="7">
        <v>23</v>
      </c>
      <c r="G232" s="19">
        <v>454620</v>
      </c>
      <c r="H232" s="15">
        <v>7.0000000000000007E-2</v>
      </c>
      <c r="I232" s="7">
        <v>70</v>
      </c>
      <c r="J232" s="16">
        <v>0.77198179631391994</v>
      </c>
    </row>
    <row r="233" spans="1:10" x14ac:dyDescent="0.3">
      <c r="A233" s="7" t="s">
        <v>239</v>
      </c>
      <c r="B233" s="7" t="s">
        <v>504</v>
      </c>
      <c r="C233" s="7" t="s">
        <v>258</v>
      </c>
      <c r="D233" s="7" t="s">
        <v>261</v>
      </c>
      <c r="E233" s="7" t="s">
        <v>264</v>
      </c>
      <c r="F233" s="7">
        <v>37</v>
      </c>
      <c r="G233" s="19">
        <v>486642</v>
      </c>
      <c r="H233" s="15">
        <v>0.02</v>
      </c>
      <c r="I233" s="7">
        <v>7</v>
      </c>
      <c r="J233" s="16">
        <v>0.57763715178490593</v>
      </c>
    </row>
    <row r="234" spans="1:10" x14ac:dyDescent="0.3">
      <c r="A234" s="7" t="s">
        <v>240</v>
      </c>
      <c r="B234" s="7" t="s">
        <v>505</v>
      </c>
      <c r="C234" s="7" t="s">
        <v>260</v>
      </c>
      <c r="D234" s="7" t="s">
        <v>261</v>
      </c>
      <c r="E234" s="7" t="s">
        <v>264</v>
      </c>
      <c r="F234" s="7">
        <v>64</v>
      </c>
      <c r="G234" s="19">
        <v>4739032</v>
      </c>
      <c r="H234" s="15">
        <v>0.27</v>
      </c>
      <c r="I234" s="7">
        <v>1888</v>
      </c>
      <c r="J234" s="16">
        <v>0.75806897733691747</v>
      </c>
    </row>
    <row r="235" spans="1:10" x14ac:dyDescent="0.3">
      <c r="A235" s="7" t="s">
        <v>241</v>
      </c>
      <c r="B235" s="7" t="s">
        <v>506</v>
      </c>
      <c r="C235" s="7" t="s">
        <v>258</v>
      </c>
      <c r="D235" s="7" t="s">
        <v>265</v>
      </c>
      <c r="E235" s="7" t="s">
        <v>267</v>
      </c>
      <c r="F235" s="7">
        <v>8</v>
      </c>
      <c r="G235" s="19">
        <v>354643</v>
      </c>
      <c r="H235" s="15">
        <v>0.04</v>
      </c>
      <c r="I235" s="7">
        <v>46</v>
      </c>
      <c r="J235" s="16">
        <v>0.66942766462905801</v>
      </c>
    </row>
    <row r="236" spans="1:10" x14ac:dyDescent="0.3">
      <c r="A236" s="7" t="s">
        <v>242</v>
      </c>
      <c r="B236" s="7" t="s">
        <v>507</v>
      </c>
      <c r="C236" s="7" t="s">
        <v>259</v>
      </c>
      <c r="D236" s="7" t="s">
        <v>265</v>
      </c>
      <c r="E236" s="7" t="s">
        <v>266</v>
      </c>
      <c r="F236" s="7">
        <v>46</v>
      </c>
      <c r="G236" s="19">
        <v>2428760</v>
      </c>
      <c r="H236" s="15">
        <v>7.0000000000000007E-2</v>
      </c>
      <c r="I236" s="7">
        <v>277</v>
      </c>
      <c r="J236" s="16">
        <v>0.73795706333319788</v>
      </c>
    </row>
    <row r="237" spans="1:10" x14ac:dyDescent="0.3">
      <c r="A237" s="7" t="s">
        <v>243</v>
      </c>
      <c r="B237" s="7" t="s">
        <v>508</v>
      </c>
      <c r="C237" s="7" t="s">
        <v>260</v>
      </c>
      <c r="D237" s="7" t="s">
        <v>270</v>
      </c>
      <c r="E237" s="7" t="s">
        <v>264</v>
      </c>
      <c r="F237" s="7">
        <v>29</v>
      </c>
      <c r="G237" s="19">
        <v>13617578</v>
      </c>
      <c r="H237" s="15">
        <v>0.25</v>
      </c>
      <c r="I237" s="7">
        <v>412</v>
      </c>
      <c r="J237" s="16">
        <v>0.85116534997452253</v>
      </c>
    </row>
    <row r="238" spans="1:10" x14ac:dyDescent="0.3">
      <c r="A238" s="7" t="s">
        <v>244</v>
      </c>
      <c r="B238" s="7" t="s">
        <v>509</v>
      </c>
      <c r="C238" s="7" t="s">
        <v>258</v>
      </c>
      <c r="D238" s="7" t="s">
        <v>263</v>
      </c>
      <c r="E238" s="7" t="s">
        <v>266</v>
      </c>
      <c r="F238" s="7">
        <v>14</v>
      </c>
      <c r="G238" s="19">
        <v>253407</v>
      </c>
      <c r="H238" s="15">
        <v>0.02</v>
      </c>
      <c r="I238" s="7">
        <v>70</v>
      </c>
      <c r="J238" s="16">
        <v>0.66828491257765688</v>
      </c>
    </row>
    <row r="239" spans="1:10" x14ac:dyDescent="0.3">
      <c r="A239" s="7" t="s">
        <v>245</v>
      </c>
      <c r="B239" s="7" t="s">
        <v>510</v>
      </c>
      <c r="C239" s="7" t="s">
        <v>258</v>
      </c>
      <c r="D239" s="7" t="s">
        <v>265</v>
      </c>
      <c r="E239" s="7" t="s">
        <v>262</v>
      </c>
      <c r="F239" s="7">
        <v>15</v>
      </c>
      <c r="G239" s="19">
        <v>191856</v>
      </c>
      <c r="H239" s="15">
        <v>0.01</v>
      </c>
      <c r="I239" s="7">
        <v>52</v>
      </c>
      <c r="J239" s="16">
        <v>0.62625820848357994</v>
      </c>
    </row>
    <row r="240" spans="1:10" x14ac:dyDescent="0.3">
      <c r="A240" s="7" t="s">
        <v>246</v>
      </c>
      <c r="B240" s="7" t="s">
        <v>511</v>
      </c>
      <c r="C240" s="7" t="s">
        <v>258</v>
      </c>
      <c r="D240" s="7" t="s">
        <v>261</v>
      </c>
      <c r="E240" s="7" t="s">
        <v>266</v>
      </c>
      <c r="F240" s="7">
        <v>15</v>
      </c>
      <c r="G240" s="19">
        <v>472155</v>
      </c>
      <c r="H240" s="15">
        <v>0.01</v>
      </c>
      <c r="I240" s="7">
        <v>17</v>
      </c>
      <c r="J240" s="16">
        <v>0.63781251861113986</v>
      </c>
    </row>
    <row r="241" spans="1:10" x14ac:dyDescent="0.3">
      <c r="A241" s="7" t="s">
        <v>247</v>
      </c>
      <c r="B241" s="7" t="s">
        <v>512</v>
      </c>
      <c r="C241" s="7" t="s">
        <v>258</v>
      </c>
      <c r="D241" s="7" t="s">
        <v>265</v>
      </c>
      <c r="E241" s="7" t="s">
        <v>266</v>
      </c>
      <c r="F241" s="7">
        <v>19</v>
      </c>
      <c r="G241" s="19">
        <v>123106</v>
      </c>
      <c r="H241" s="15">
        <v>0.1</v>
      </c>
      <c r="I241" s="7">
        <v>61</v>
      </c>
      <c r="J241" s="16">
        <v>0.58570527945985873</v>
      </c>
    </row>
    <row r="242" spans="1:10" x14ac:dyDescent="0.3">
      <c r="A242" s="7" t="s">
        <v>248</v>
      </c>
      <c r="B242" s="7" t="s">
        <v>513</v>
      </c>
      <c r="C242" s="7" t="s">
        <v>258</v>
      </c>
      <c r="D242" s="7" t="s">
        <v>271</v>
      </c>
      <c r="E242" s="7" t="s">
        <v>267</v>
      </c>
      <c r="F242" s="7">
        <v>19</v>
      </c>
      <c r="G242" s="19">
        <v>560108</v>
      </c>
      <c r="H242" s="15">
        <v>0.08</v>
      </c>
      <c r="I242" s="7">
        <v>79</v>
      </c>
      <c r="J242" s="16">
        <v>0.7545830561933341</v>
      </c>
    </row>
    <row r="243" spans="1:10" x14ac:dyDescent="0.3">
      <c r="A243" s="7" t="s">
        <v>249</v>
      </c>
      <c r="B243" s="7" t="s">
        <v>514</v>
      </c>
      <c r="C243" s="7" t="s">
        <v>259</v>
      </c>
      <c r="D243" s="7" t="s">
        <v>268</v>
      </c>
      <c r="E243" s="7" t="s">
        <v>264</v>
      </c>
      <c r="F243" s="7">
        <v>57</v>
      </c>
      <c r="G243" s="19">
        <v>949709</v>
      </c>
      <c r="H243" s="15">
        <v>0.11</v>
      </c>
      <c r="I243" s="7">
        <v>263</v>
      </c>
      <c r="J243" s="16">
        <v>0.82497229277488326</v>
      </c>
    </row>
    <row r="244" spans="1:10" x14ac:dyDescent="0.3">
      <c r="A244" s="7" t="s">
        <v>250</v>
      </c>
      <c r="B244" s="7" t="s">
        <v>515</v>
      </c>
      <c r="C244" s="7" t="s">
        <v>259</v>
      </c>
      <c r="D244" s="7" t="s">
        <v>263</v>
      </c>
      <c r="E244" s="7" t="s">
        <v>267</v>
      </c>
      <c r="F244" s="7">
        <v>18</v>
      </c>
      <c r="G244" s="19">
        <v>2483733</v>
      </c>
      <c r="H244" s="15">
        <v>0.08</v>
      </c>
      <c r="I244" s="7">
        <v>325</v>
      </c>
      <c r="J244" s="16">
        <v>0.78577452084039467</v>
      </c>
    </row>
    <row r="245" spans="1:10" x14ac:dyDescent="0.3">
      <c r="A245" s="7" t="s">
        <v>251</v>
      </c>
      <c r="B245" s="7" t="s">
        <v>516</v>
      </c>
      <c r="C245" s="7" t="s">
        <v>259</v>
      </c>
      <c r="D245" s="7" t="s">
        <v>263</v>
      </c>
      <c r="E245" s="7" t="s">
        <v>262</v>
      </c>
      <c r="F245" s="7">
        <v>48</v>
      </c>
      <c r="G245" s="19">
        <v>1813666</v>
      </c>
      <c r="H245" s="15">
        <v>0.13</v>
      </c>
      <c r="I245" s="7">
        <v>117</v>
      </c>
      <c r="J245" s="16">
        <v>0.86212119443049362</v>
      </c>
    </row>
    <row r="246" spans="1:10" x14ac:dyDescent="0.3">
      <c r="A246" s="7" t="s">
        <v>252</v>
      </c>
      <c r="B246" s="7" t="s">
        <v>517</v>
      </c>
      <c r="C246" s="7" t="s">
        <v>260</v>
      </c>
      <c r="D246" s="7" t="s">
        <v>261</v>
      </c>
      <c r="E246" s="7" t="s">
        <v>266</v>
      </c>
      <c r="F246" s="7">
        <v>29</v>
      </c>
      <c r="G246" s="19">
        <v>12241235</v>
      </c>
      <c r="H246" s="15">
        <v>0.16</v>
      </c>
      <c r="I246" s="7">
        <v>434</v>
      </c>
      <c r="J246" s="16">
        <v>0.81389774404540594</v>
      </c>
    </row>
    <row r="247" spans="1:10" x14ac:dyDescent="0.3">
      <c r="A247" s="7" t="s">
        <v>253</v>
      </c>
      <c r="B247" s="7" t="s">
        <v>518</v>
      </c>
      <c r="C247" s="7" t="s">
        <v>258</v>
      </c>
      <c r="D247" s="7" t="s">
        <v>265</v>
      </c>
      <c r="E247" s="7" t="s">
        <v>269</v>
      </c>
      <c r="F247" s="7">
        <v>26</v>
      </c>
      <c r="G247" s="19">
        <v>148049</v>
      </c>
      <c r="H247" s="15">
        <v>0.1</v>
      </c>
      <c r="I247" s="7">
        <v>7</v>
      </c>
      <c r="J247" s="16">
        <v>0.7810432824721788</v>
      </c>
    </row>
    <row r="248" spans="1:10" x14ac:dyDescent="0.3">
      <c r="A248" s="7" t="s">
        <v>254</v>
      </c>
      <c r="B248" s="7" t="s">
        <v>519</v>
      </c>
      <c r="C248" s="7" t="s">
        <v>260</v>
      </c>
      <c r="D248" s="7" t="s">
        <v>270</v>
      </c>
      <c r="E248" s="7" t="s">
        <v>267</v>
      </c>
      <c r="F248" s="7">
        <v>33</v>
      </c>
      <c r="G248" s="19">
        <v>12204851</v>
      </c>
      <c r="H248" s="15">
        <v>0.18</v>
      </c>
      <c r="I248" s="7">
        <v>396</v>
      </c>
      <c r="J248" s="16">
        <v>0.93321097042958467</v>
      </c>
    </row>
    <row r="249" spans="1:10" x14ac:dyDescent="0.3">
      <c r="A249" s="7" t="s">
        <v>255</v>
      </c>
      <c r="B249" s="7"/>
      <c r="C249" s="7" t="s">
        <v>258</v>
      </c>
      <c r="D249" s="7" t="s">
        <v>261</v>
      </c>
      <c r="E249" s="7" t="s">
        <v>267</v>
      </c>
      <c r="F249" s="7">
        <v>30</v>
      </c>
      <c r="G249" s="19">
        <v>249186</v>
      </c>
      <c r="H249" s="15">
        <v>0.04</v>
      </c>
      <c r="I249" s="7">
        <v>39</v>
      </c>
      <c r="J249" s="16">
        <v>0.81089869254950742</v>
      </c>
    </row>
    <row r="250" spans="1:10" x14ac:dyDescent="0.3">
      <c r="A250" s="7" t="s">
        <v>256</v>
      </c>
      <c r="B250" s="7"/>
      <c r="C250" s="7" t="s">
        <v>258</v>
      </c>
      <c r="D250" s="7" t="s">
        <v>271</v>
      </c>
      <c r="E250" s="7" t="s">
        <v>262</v>
      </c>
      <c r="F250" s="7">
        <v>33</v>
      </c>
      <c r="G250" s="19">
        <v>128117</v>
      </c>
      <c r="H250" s="15">
        <v>0.05</v>
      </c>
      <c r="I250" s="7">
        <v>68</v>
      </c>
      <c r="J250" s="16">
        <v>0.79987193352472907</v>
      </c>
    </row>
    <row r="251" spans="1:10" x14ac:dyDescent="0.3">
      <c r="A251" s="7" t="s">
        <v>257</v>
      </c>
      <c r="B251" s="7"/>
      <c r="C251" s="7" t="s">
        <v>260</v>
      </c>
      <c r="D251" s="7" t="s">
        <v>271</v>
      </c>
      <c r="E251" s="7" t="s">
        <v>269</v>
      </c>
      <c r="F251" s="7">
        <v>18</v>
      </c>
      <c r="G251" s="19">
        <v>9560237</v>
      </c>
      <c r="H251" s="15">
        <v>0.33</v>
      </c>
      <c r="I251" s="7">
        <v>1119</v>
      </c>
      <c r="J251" s="16">
        <v>0.76730025354060383</v>
      </c>
    </row>
  </sheetData>
  <phoneticPr fontId="4" type="noConversion"/>
  <conditionalFormatting sqref="C2:C251">
    <cfRule type="containsText" dxfId="29" priority="1" operator="containsText" text="Enterprise">
      <formula>NOT(ISERROR(SEARCH("Enterprise",C2)))</formula>
    </cfRule>
    <cfRule type="containsText" dxfId="28" priority="2" operator="containsText" text="Mid">
      <formula>NOT(ISERROR(SEARCH("Mid",C2)))</formula>
    </cfRule>
    <cfRule type="containsText" dxfId="27" priority="3" operator="containsText" text="SMB">
      <formula>NOT(ISERROR(SEARCH("SMB",C2)))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E7D-C75F-4D7F-A4D1-776B725B0F0D}">
  <sheetPr codeName="Sheet2"/>
  <dimension ref="A1:F251"/>
  <sheetViews>
    <sheetView showGridLines="0" zoomScale="89" zoomScaleNormal="89" workbookViewId="0">
      <pane xSplit="13" ySplit="11" topLeftCell="N12" activePane="bottomRight" state="frozen"/>
      <selection pane="topRight" activeCell="N1" sqref="N1"/>
      <selection pane="bottomLeft" activeCell="A12" sqref="A12"/>
      <selection pane="bottomRight" activeCell="N12" sqref="N12"/>
    </sheetView>
  </sheetViews>
  <sheetFormatPr defaultRowHeight="14.4" x14ac:dyDescent="0.3"/>
  <cols>
    <col min="1" max="1" width="10.33203125" customWidth="1"/>
    <col min="2" max="2" width="17.109375" customWidth="1"/>
    <col min="3" max="3" width="17" customWidth="1"/>
    <col min="4" max="4" width="16.5546875" customWidth="1"/>
    <col min="5" max="5" width="15.77734375" customWidth="1"/>
    <col min="6" max="6" width="16.33203125" customWidth="1"/>
  </cols>
  <sheetData>
    <row r="1" spans="1:6" s="1" customFormat="1" ht="58.8" customHeight="1" x14ac:dyDescent="0.3">
      <c r="A1" s="29" t="s">
        <v>0</v>
      </c>
      <c r="B1" s="29" t="s">
        <v>520</v>
      </c>
      <c r="C1" s="29" t="s">
        <v>521</v>
      </c>
      <c r="D1" s="29" t="s">
        <v>522</v>
      </c>
      <c r="E1" s="29" t="s">
        <v>523</v>
      </c>
      <c r="F1" s="29" t="s">
        <v>534</v>
      </c>
    </row>
    <row r="2" spans="1:6" ht="18" x14ac:dyDescent="0.35">
      <c r="A2" s="17" t="s">
        <v>8</v>
      </c>
      <c r="B2" s="17">
        <v>27</v>
      </c>
      <c r="C2" s="17">
        <v>90</v>
      </c>
      <c r="D2" s="17">
        <v>95</v>
      </c>
      <c r="E2" s="17">
        <v>86</v>
      </c>
      <c r="F2" s="17">
        <v>0</v>
      </c>
    </row>
    <row r="3" spans="1:6" ht="18" x14ac:dyDescent="0.35">
      <c r="A3" s="17" t="s">
        <v>9</v>
      </c>
      <c r="B3" s="17">
        <v>102</v>
      </c>
      <c r="C3" s="17">
        <v>401</v>
      </c>
      <c r="D3" s="17">
        <v>1307</v>
      </c>
      <c r="E3" s="17">
        <v>1405</v>
      </c>
      <c r="F3" s="17">
        <v>3</v>
      </c>
    </row>
    <row r="4" spans="1:6" ht="18" x14ac:dyDescent="0.35">
      <c r="A4" s="17" t="s">
        <v>10</v>
      </c>
      <c r="B4" s="17">
        <v>33</v>
      </c>
      <c r="C4" s="17">
        <v>44</v>
      </c>
      <c r="D4" s="17">
        <v>30</v>
      </c>
      <c r="E4" s="17">
        <v>64</v>
      </c>
      <c r="F4" s="17">
        <v>5</v>
      </c>
    </row>
    <row r="5" spans="1:6" ht="18" x14ac:dyDescent="0.35">
      <c r="A5" s="17" t="s">
        <v>11</v>
      </c>
      <c r="B5" s="17">
        <v>50</v>
      </c>
      <c r="C5" s="17">
        <v>110</v>
      </c>
      <c r="D5" s="17">
        <v>146</v>
      </c>
      <c r="E5" s="17">
        <v>311</v>
      </c>
      <c r="F5" s="17">
        <v>1</v>
      </c>
    </row>
    <row r="6" spans="1:6" ht="18" x14ac:dyDescent="0.35">
      <c r="A6" s="17" t="s">
        <v>12</v>
      </c>
      <c r="B6" s="17">
        <v>64</v>
      </c>
      <c r="C6" s="17">
        <v>1194</v>
      </c>
      <c r="D6" s="17">
        <v>792</v>
      </c>
      <c r="E6" s="17">
        <v>2931</v>
      </c>
      <c r="F6" s="17">
        <v>3</v>
      </c>
    </row>
    <row r="7" spans="1:6" ht="18" x14ac:dyDescent="0.35">
      <c r="A7" s="17" t="s">
        <v>13</v>
      </c>
      <c r="B7" s="17">
        <v>26</v>
      </c>
      <c r="C7" s="17">
        <v>59</v>
      </c>
      <c r="D7" s="17">
        <v>64</v>
      </c>
      <c r="E7" s="17">
        <v>63</v>
      </c>
      <c r="F7" s="17">
        <v>0</v>
      </c>
    </row>
    <row r="8" spans="1:6" ht="18" x14ac:dyDescent="0.35">
      <c r="A8" s="17" t="s">
        <v>14</v>
      </c>
      <c r="B8" s="17">
        <v>154</v>
      </c>
      <c r="C8" s="17">
        <v>1044</v>
      </c>
      <c r="D8" s="17">
        <v>1861</v>
      </c>
      <c r="E8" s="17">
        <v>917</v>
      </c>
      <c r="F8" s="17">
        <v>1</v>
      </c>
    </row>
    <row r="9" spans="1:6" ht="18" x14ac:dyDescent="0.35">
      <c r="A9" s="17" t="s">
        <v>15</v>
      </c>
      <c r="B9" s="17">
        <v>16</v>
      </c>
      <c r="C9" s="17">
        <v>114</v>
      </c>
      <c r="D9" s="17">
        <v>33</v>
      </c>
      <c r="E9" s="17">
        <v>44</v>
      </c>
      <c r="F9" s="17">
        <v>0</v>
      </c>
    </row>
    <row r="10" spans="1:6" ht="18" x14ac:dyDescent="0.35">
      <c r="A10" s="17" t="s">
        <v>16</v>
      </c>
      <c r="B10" s="17">
        <v>131</v>
      </c>
      <c r="C10" s="17">
        <v>250</v>
      </c>
      <c r="D10" s="17">
        <v>1163</v>
      </c>
      <c r="E10" s="17">
        <v>2282</v>
      </c>
      <c r="F10" s="17">
        <v>0</v>
      </c>
    </row>
    <row r="11" spans="1:6" ht="18" x14ac:dyDescent="0.35">
      <c r="A11" s="17" t="s">
        <v>17</v>
      </c>
      <c r="B11" s="17">
        <v>20</v>
      </c>
      <c r="C11" s="17">
        <v>154</v>
      </c>
      <c r="D11" s="17">
        <v>375</v>
      </c>
      <c r="E11" s="17">
        <v>553</v>
      </c>
      <c r="F11" s="17">
        <v>2</v>
      </c>
    </row>
    <row r="12" spans="1:6" ht="18" x14ac:dyDescent="0.35">
      <c r="A12" s="17" t="s">
        <v>18</v>
      </c>
      <c r="B12" s="17">
        <v>46</v>
      </c>
      <c r="C12" s="17">
        <v>122</v>
      </c>
      <c r="D12" s="17">
        <v>316</v>
      </c>
      <c r="E12" s="17">
        <v>520</v>
      </c>
      <c r="F12" s="17">
        <v>4</v>
      </c>
    </row>
    <row r="13" spans="1:6" ht="18" x14ac:dyDescent="0.35">
      <c r="A13" s="17" t="s">
        <v>19</v>
      </c>
      <c r="B13" s="17">
        <v>22</v>
      </c>
      <c r="C13" s="17">
        <v>68</v>
      </c>
      <c r="D13" s="17">
        <v>94</v>
      </c>
      <c r="E13" s="17">
        <v>32</v>
      </c>
      <c r="F13" s="17">
        <v>1</v>
      </c>
    </row>
    <row r="14" spans="1:6" ht="18" x14ac:dyDescent="0.35">
      <c r="A14" s="17" t="s">
        <v>20</v>
      </c>
      <c r="B14" s="17">
        <v>9</v>
      </c>
      <c r="C14" s="17">
        <v>103</v>
      </c>
      <c r="D14" s="17">
        <v>66</v>
      </c>
      <c r="E14" s="17">
        <v>84</v>
      </c>
      <c r="F14" s="17">
        <v>3</v>
      </c>
    </row>
    <row r="15" spans="1:6" ht="18" x14ac:dyDescent="0.35">
      <c r="A15" s="17" t="s">
        <v>21</v>
      </c>
      <c r="B15" s="17">
        <v>59</v>
      </c>
      <c r="C15" s="17">
        <v>407</v>
      </c>
      <c r="D15" s="17">
        <v>1979</v>
      </c>
      <c r="E15" s="17">
        <v>682</v>
      </c>
      <c r="F15" s="17">
        <v>4</v>
      </c>
    </row>
    <row r="16" spans="1:6" ht="18" x14ac:dyDescent="0.35">
      <c r="A16" s="17" t="s">
        <v>22</v>
      </c>
      <c r="B16" s="17">
        <v>71</v>
      </c>
      <c r="C16" s="17">
        <v>162</v>
      </c>
      <c r="D16" s="17">
        <v>372</v>
      </c>
      <c r="E16" s="17">
        <v>377</v>
      </c>
      <c r="F16" s="17">
        <v>3</v>
      </c>
    </row>
    <row r="17" spans="1:6" ht="18" x14ac:dyDescent="0.35">
      <c r="A17" s="17" t="s">
        <v>23</v>
      </c>
      <c r="B17" s="17">
        <v>7</v>
      </c>
      <c r="C17" s="17">
        <v>40</v>
      </c>
      <c r="D17" s="17">
        <v>94</v>
      </c>
      <c r="E17" s="17">
        <v>87</v>
      </c>
      <c r="F17" s="17">
        <v>2</v>
      </c>
    </row>
    <row r="18" spans="1:6" ht="18" x14ac:dyDescent="0.35">
      <c r="A18" s="17" t="s">
        <v>24</v>
      </c>
      <c r="B18" s="17">
        <v>35</v>
      </c>
      <c r="C18" s="17">
        <v>52</v>
      </c>
      <c r="D18" s="17">
        <v>70</v>
      </c>
      <c r="E18" s="17">
        <v>73</v>
      </c>
      <c r="F18" s="17">
        <v>0</v>
      </c>
    </row>
    <row r="19" spans="1:6" ht="18" x14ac:dyDescent="0.35">
      <c r="A19" s="17" t="s">
        <v>25</v>
      </c>
      <c r="B19" s="17">
        <v>48</v>
      </c>
      <c r="C19" s="17">
        <v>168</v>
      </c>
      <c r="D19" s="17">
        <v>379</v>
      </c>
      <c r="E19" s="17">
        <v>261</v>
      </c>
      <c r="F19" s="17">
        <v>1</v>
      </c>
    </row>
    <row r="20" spans="1:6" ht="18" x14ac:dyDescent="0.35">
      <c r="A20" s="17" t="s">
        <v>26</v>
      </c>
      <c r="B20" s="17">
        <v>60</v>
      </c>
      <c r="C20" s="17">
        <v>202</v>
      </c>
      <c r="D20" s="17">
        <v>303</v>
      </c>
      <c r="E20" s="17">
        <v>544</v>
      </c>
      <c r="F20" s="17">
        <v>1</v>
      </c>
    </row>
    <row r="21" spans="1:6" ht="18" x14ac:dyDescent="0.35">
      <c r="A21" s="17" t="s">
        <v>27</v>
      </c>
      <c r="B21" s="17">
        <v>74</v>
      </c>
      <c r="C21" s="17">
        <v>171</v>
      </c>
      <c r="D21" s="17">
        <v>111</v>
      </c>
      <c r="E21" s="17">
        <v>321</v>
      </c>
      <c r="F21" s="17">
        <v>1</v>
      </c>
    </row>
    <row r="22" spans="1:6" ht="18" x14ac:dyDescent="0.35">
      <c r="A22" s="17" t="s">
        <v>28</v>
      </c>
      <c r="B22" s="17">
        <v>235</v>
      </c>
      <c r="C22" s="17">
        <v>853</v>
      </c>
      <c r="D22" s="17">
        <v>732</v>
      </c>
      <c r="E22" s="17">
        <v>2778</v>
      </c>
      <c r="F22" s="17">
        <v>3</v>
      </c>
    </row>
    <row r="23" spans="1:6" ht="18" x14ac:dyDescent="0.35">
      <c r="A23" s="17" t="s">
        <v>29</v>
      </c>
      <c r="B23" s="17">
        <v>23</v>
      </c>
      <c r="C23" s="17">
        <v>172</v>
      </c>
      <c r="D23" s="17">
        <v>270</v>
      </c>
      <c r="E23" s="17">
        <v>134</v>
      </c>
      <c r="F23" s="17">
        <v>0</v>
      </c>
    </row>
    <row r="24" spans="1:6" ht="18" x14ac:dyDescent="0.35">
      <c r="A24" s="17" t="s">
        <v>30</v>
      </c>
      <c r="B24" s="17">
        <v>52</v>
      </c>
      <c r="C24" s="17">
        <v>1197</v>
      </c>
      <c r="D24" s="17">
        <v>1219</v>
      </c>
      <c r="E24" s="17">
        <v>2106</v>
      </c>
      <c r="F24" s="17">
        <v>0</v>
      </c>
    </row>
    <row r="25" spans="1:6" ht="18" x14ac:dyDescent="0.35">
      <c r="A25" s="17" t="s">
        <v>31</v>
      </c>
      <c r="B25" s="17">
        <v>28</v>
      </c>
      <c r="C25" s="17">
        <v>126</v>
      </c>
      <c r="D25" s="17">
        <v>299</v>
      </c>
      <c r="E25" s="17">
        <v>170</v>
      </c>
      <c r="F25" s="17">
        <v>3</v>
      </c>
    </row>
    <row r="26" spans="1:6" ht="18" x14ac:dyDescent="0.35">
      <c r="A26" s="17" t="s">
        <v>32</v>
      </c>
      <c r="B26" s="17">
        <v>31</v>
      </c>
      <c r="C26" s="17">
        <v>83</v>
      </c>
      <c r="D26" s="17">
        <v>74</v>
      </c>
      <c r="E26" s="17">
        <v>26</v>
      </c>
      <c r="F26" s="17">
        <v>5</v>
      </c>
    </row>
    <row r="27" spans="1:6" ht="18" x14ac:dyDescent="0.35">
      <c r="A27" s="17" t="s">
        <v>33</v>
      </c>
      <c r="B27" s="17">
        <v>61</v>
      </c>
      <c r="C27" s="17">
        <v>214</v>
      </c>
      <c r="D27" s="17">
        <v>338</v>
      </c>
      <c r="E27" s="17">
        <v>396</v>
      </c>
      <c r="F27" s="17">
        <v>4</v>
      </c>
    </row>
    <row r="28" spans="1:6" ht="18" x14ac:dyDescent="0.35">
      <c r="A28" s="17" t="s">
        <v>34</v>
      </c>
      <c r="B28" s="17">
        <v>25</v>
      </c>
      <c r="C28" s="17">
        <v>70</v>
      </c>
      <c r="D28" s="17">
        <v>72</v>
      </c>
      <c r="E28" s="17">
        <v>35</v>
      </c>
      <c r="F28" s="17">
        <v>4</v>
      </c>
    </row>
    <row r="29" spans="1:6" ht="18" x14ac:dyDescent="0.35">
      <c r="A29" s="17" t="s">
        <v>35</v>
      </c>
      <c r="B29" s="17">
        <v>35</v>
      </c>
      <c r="C29" s="17">
        <v>64</v>
      </c>
      <c r="D29" s="17">
        <v>50</v>
      </c>
      <c r="E29" s="17">
        <v>30</v>
      </c>
      <c r="F29" s="17">
        <v>4</v>
      </c>
    </row>
    <row r="30" spans="1:6" ht="18" x14ac:dyDescent="0.35">
      <c r="A30" s="17" t="s">
        <v>36</v>
      </c>
      <c r="B30" s="17">
        <v>247</v>
      </c>
      <c r="C30" s="17">
        <v>1130</v>
      </c>
      <c r="D30" s="17">
        <v>1212</v>
      </c>
      <c r="E30" s="17">
        <v>1633</v>
      </c>
      <c r="F30" s="17">
        <v>2</v>
      </c>
    </row>
    <row r="31" spans="1:6" ht="18" x14ac:dyDescent="0.35">
      <c r="A31" s="17" t="s">
        <v>37</v>
      </c>
      <c r="B31" s="17">
        <v>18</v>
      </c>
      <c r="C31" s="17">
        <v>143</v>
      </c>
      <c r="D31" s="17">
        <v>329</v>
      </c>
      <c r="E31" s="17">
        <v>317</v>
      </c>
      <c r="F31" s="17">
        <v>0</v>
      </c>
    </row>
    <row r="32" spans="1:6" ht="18" x14ac:dyDescent="0.35">
      <c r="A32" s="17" t="s">
        <v>38</v>
      </c>
      <c r="B32" s="17">
        <v>75</v>
      </c>
      <c r="C32" s="17">
        <v>144</v>
      </c>
      <c r="D32" s="17">
        <v>266</v>
      </c>
      <c r="E32" s="17">
        <v>164</v>
      </c>
      <c r="F32" s="17">
        <v>2</v>
      </c>
    </row>
    <row r="33" spans="1:6" ht="18" x14ac:dyDescent="0.35">
      <c r="A33" s="17" t="s">
        <v>39</v>
      </c>
      <c r="B33" s="17">
        <v>247</v>
      </c>
      <c r="C33" s="17">
        <v>1137</v>
      </c>
      <c r="D33" s="17">
        <v>545</v>
      </c>
      <c r="E33" s="17">
        <v>512</v>
      </c>
      <c r="F33" s="17">
        <v>5</v>
      </c>
    </row>
    <row r="34" spans="1:6" ht="18" x14ac:dyDescent="0.35">
      <c r="A34" s="17" t="s">
        <v>40</v>
      </c>
      <c r="B34" s="17">
        <v>202</v>
      </c>
      <c r="C34" s="17">
        <v>950</v>
      </c>
      <c r="D34" s="17">
        <v>1725</v>
      </c>
      <c r="E34" s="17">
        <v>3496</v>
      </c>
      <c r="F34" s="17">
        <v>0</v>
      </c>
    </row>
    <row r="35" spans="1:6" ht="18" x14ac:dyDescent="0.35">
      <c r="A35" s="17" t="s">
        <v>41</v>
      </c>
      <c r="B35" s="17">
        <v>29</v>
      </c>
      <c r="C35" s="17">
        <v>54</v>
      </c>
      <c r="D35" s="17">
        <v>20</v>
      </c>
      <c r="E35" s="17">
        <v>99</v>
      </c>
      <c r="F35" s="17">
        <v>0</v>
      </c>
    </row>
    <row r="36" spans="1:6" ht="18" x14ac:dyDescent="0.35">
      <c r="A36" s="17" t="s">
        <v>42</v>
      </c>
      <c r="B36" s="17">
        <v>25</v>
      </c>
      <c r="C36" s="17">
        <v>112</v>
      </c>
      <c r="D36" s="17">
        <v>48</v>
      </c>
      <c r="E36" s="17">
        <v>79</v>
      </c>
      <c r="F36" s="17">
        <v>4</v>
      </c>
    </row>
    <row r="37" spans="1:6" ht="18" x14ac:dyDescent="0.35">
      <c r="A37" s="17" t="s">
        <v>43</v>
      </c>
      <c r="B37" s="17">
        <v>108</v>
      </c>
      <c r="C37" s="17">
        <v>1154</v>
      </c>
      <c r="D37" s="17">
        <v>1065</v>
      </c>
      <c r="E37" s="17">
        <v>2058</v>
      </c>
      <c r="F37" s="17">
        <v>4</v>
      </c>
    </row>
    <row r="38" spans="1:6" ht="18" x14ac:dyDescent="0.35">
      <c r="A38" s="17" t="s">
        <v>44</v>
      </c>
      <c r="B38" s="17">
        <v>115</v>
      </c>
      <c r="C38" s="17">
        <v>987</v>
      </c>
      <c r="D38" s="17">
        <v>942</v>
      </c>
      <c r="E38" s="17">
        <v>2293</v>
      </c>
      <c r="F38" s="17">
        <v>3</v>
      </c>
    </row>
    <row r="39" spans="1:6" ht="18" x14ac:dyDescent="0.35">
      <c r="A39" s="17" t="s">
        <v>45</v>
      </c>
      <c r="B39" s="17">
        <v>25</v>
      </c>
      <c r="C39" s="17">
        <v>73</v>
      </c>
      <c r="D39" s="17">
        <v>51</v>
      </c>
      <c r="E39" s="17">
        <v>97</v>
      </c>
      <c r="F39" s="17">
        <v>5</v>
      </c>
    </row>
    <row r="40" spans="1:6" ht="18" x14ac:dyDescent="0.35">
      <c r="A40" s="17" t="s">
        <v>46</v>
      </c>
      <c r="B40" s="17">
        <v>17</v>
      </c>
      <c r="C40" s="17">
        <v>78</v>
      </c>
      <c r="D40" s="17">
        <v>32</v>
      </c>
      <c r="E40" s="17">
        <v>24</v>
      </c>
      <c r="F40" s="17">
        <v>4</v>
      </c>
    </row>
    <row r="41" spans="1:6" ht="18" x14ac:dyDescent="0.35">
      <c r="A41" s="17" t="s">
        <v>47</v>
      </c>
      <c r="B41" s="17">
        <v>18</v>
      </c>
      <c r="C41" s="17">
        <v>67</v>
      </c>
      <c r="D41" s="17">
        <v>56</v>
      </c>
      <c r="E41" s="17">
        <v>55</v>
      </c>
      <c r="F41" s="17">
        <v>5</v>
      </c>
    </row>
    <row r="42" spans="1:6" ht="18" x14ac:dyDescent="0.35">
      <c r="A42" s="17" t="s">
        <v>48</v>
      </c>
      <c r="B42" s="17">
        <v>20</v>
      </c>
      <c r="C42" s="17">
        <v>212</v>
      </c>
      <c r="D42" s="17">
        <v>117</v>
      </c>
      <c r="E42" s="17">
        <v>165</v>
      </c>
      <c r="F42" s="17">
        <v>3</v>
      </c>
    </row>
    <row r="43" spans="1:6" ht="18" x14ac:dyDescent="0.35">
      <c r="A43" s="17" t="s">
        <v>49</v>
      </c>
      <c r="B43" s="17">
        <v>53</v>
      </c>
      <c r="C43" s="17">
        <v>231</v>
      </c>
      <c r="D43" s="17">
        <v>147</v>
      </c>
      <c r="E43" s="17">
        <v>112</v>
      </c>
      <c r="F43" s="17">
        <v>2</v>
      </c>
    </row>
    <row r="44" spans="1:6" ht="18" x14ac:dyDescent="0.35">
      <c r="A44" s="17" t="s">
        <v>50</v>
      </c>
      <c r="B44" s="17">
        <v>146</v>
      </c>
      <c r="C44" s="17">
        <v>507</v>
      </c>
      <c r="D44" s="17">
        <v>1970</v>
      </c>
      <c r="E44" s="17">
        <v>1184</v>
      </c>
      <c r="F44" s="17">
        <v>1</v>
      </c>
    </row>
    <row r="45" spans="1:6" ht="18" x14ac:dyDescent="0.35">
      <c r="A45" s="17" t="s">
        <v>51</v>
      </c>
      <c r="B45" s="17">
        <v>29</v>
      </c>
      <c r="C45" s="17">
        <v>112</v>
      </c>
      <c r="D45" s="17">
        <v>23</v>
      </c>
      <c r="E45" s="17">
        <v>43</v>
      </c>
      <c r="F45" s="17">
        <v>3</v>
      </c>
    </row>
    <row r="46" spans="1:6" ht="18" x14ac:dyDescent="0.35">
      <c r="A46" s="17" t="s">
        <v>52</v>
      </c>
      <c r="B46" s="17">
        <v>119</v>
      </c>
      <c r="C46" s="17">
        <v>1164</v>
      </c>
      <c r="D46" s="17">
        <v>1485</v>
      </c>
      <c r="E46" s="17">
        <v>3384</v>
      </c>
      <c r="F46" s="17">
        <v>6</v>
      </c>
    </row>
    <row r="47" spans="1:6" ht="18" x14ac:dyDescent="0.35">
      <c r="A47" s="17" t="s">
        <v>53</v>
      </c>
      <c r="B47" s="17">
        <v>50</v>
      </c>
      <c r="C47" s="17">
        <v>280</v>
      </c>
      <c r="D47" s="17">
        <v>383</v>
      </c>
      <c r="E47" s="17">
        <v>153</v>
      </c>
      <c r="F47" s="17">
        <v>3</v>
      </c>
    </row>
    <row r="48" spans="1:6" ht="18" x14ac:dyDescent="0.35">
      <c r="A48" s="17" t="s">
        <v>54</v>
      </c>
      <c r="B48" s="17">
        <v>198</v>
      </c>
      <c r="C48" s="17">
        <v>730</v>
      </c>
      <c r="D48" s="17">
        <v>1391</v>
      </c>
      <c r="E48" s="17">
        <v>2557</v>
      </c>
      <c r="F48" s="17">
        <v>2</v>
      </c>
    </row>
    <row r="49" spans="1:6" ht="18" x14ac:dyDescent="0.35">
      <c r="A49" s="17" t="s">
        <v>55</v>
      </c>
      <c r="B49" s="17">
        <v>28</v>
      </c>
      <c r="C49" s="17">
        <v>99</v>
      </c>
      <c r="D49" s="17">
        <v>77</v>
      </c>
      <c r="E49" s="17">
        <v>73</v>
      </c>
      <c r="F49" s="17">
        <v>1</v>
      </c>
    </row>
    <row r="50" spans="1:6" ht="18" x14ac:dyDescent="0.35">
      <c r="A50" s="17" t="s">
        <v>56</v>
      </c>
      <c r="B50" s="17">
        <v>185</v>
      </c>
      <c r="C50" s="17">
        <v>550</v>
      </c>
      <c r="D50" s="17">
        <v>1583</v>
      </c>
      <c r="E50" s="17">
        <v>2798</v>
      </c>
      <c r="F50" s="17">
        <v>6</v>
      </c>
    </row>
    <row r="51" spans="1:6" ht="18" x14ac:dyDescent="0.35">
      <c r="A51" s="17" t="s">
        <v>57</v>
      </c>
      <c r="B51" s="17">
        <v>49</v>
      </c>
      <c r="C51" s="17">
        <v>77</v>
      </c>
      <c r="D51" s="17">
        <v>182</v>
      </c>
      <c r="E51" s="17">
        <v>218</v>
      </c>
      <c r="F51" s="17">
        <v>0</v>
      </c>
    </row>
    <row r="52" spans="1:6" ht="18" x14ac:dyDescent="0.35">
      <c r="A52" s="17" t="s">
        <v>58</v>
      </c>
      <c r="B52" s="17">
        <v>14</v>
      </c>
      <c r="C52" s="17">
        <v>82</v>
      </c>
      <c r="D52" s="17">
        <v>68</v>
      </c>
      <c r="E52" s="17">
        <v>38</v>
      </c>
      <c r="F52" s="17">
        <v>2</v>
      </c>
    </row>
    <row r="53" spans="1:6" ht="18" x14ac:dyDescent="0.35">
      <c r="A53" s="17" t="s">
        <v>59</v>
      </c>
      <c r="B53" s="17">
        <v>171</v>
      </c>
      <c r="C53" s="17">
        <v>459</v>
      </c>
      <c r="D53" s="17">
        <v>1271</v>
      </c>
      <c r="E53" s="17">
        <v>2218</v>
      </c>
      <c r="F53" s="17">
        <v>1</v>
      </c>
    </row>
    <row r="54" spans="1:6" ht="18" x14ac:dyDescent="0.35">
      <c r="A54" s="17" t="s">
        <v>60</v>
      </c>
      <c r="B54" s="17">
        <v>37</v>
      </c>
      <c r="C54" s="17">
        <v>224</v>
      </c>
      <c r="D54" s="17">
        <v>323</v>
      </c>
      <c r="E54" s="17">
        <v>411</v>
      </c>
      <c r="F54" s="17">
        <v>4</v>
      </c>
    </row>
    <row r="55" spans="1:6" ht="18" x14ac:dyDescent="0.35">
      <c r="A55" s="17" t="s">
        <v>61</v>
      </c>
      <c r="B55" s="17">
        <v>39</v>
      </c>
      <c r="C55" s="17">
        <v>207</v>
      </c>
      <c r="D55" s="17">
        <v>89</v>
      </c>
      <c r="E55" s="17">
        <v>312</v>
      </c>
      <c r="F55" s="17">
        <v>2</v>
      </c>
    </row>
    <row r="56" spans="1:6" ht="18" x14ac:dyDescent="0.35">
      <c r="A56" s="17" t="s">
        <v>62</v>
      </c>
      <c r="B56" s="17">
        <v>7</v>
      </c>
      <c r="C56" s="17">
        <v>97</v>
      </c>
      <c r="D56" s="17">
        <v>73</v>
      </c>
      <c r="E56" s="17">
        <v>30</v>
      </c>
      <c r="F56" s="17">
        <v>1</v>
      </c>
    </row>
    <row r="57" spans="1:6" ht="18" x14ac:dyDescent="0.35">
      <c r="A57" s="17" t="s">
        <v>63</v>
      </c>
      <c r="B57" s="17">
        <v>36</v>
      </c>
      <c r="C57" s="17">
        <v>54</v>
      </c>
      <c r="D57" s="17">
        <v>31</v>
      </c>
      <c r="E57" s="17">
        <v>36</v>
      </c>
      <c r="F57" s="17">
        <v>2</v>
      </c>
    </row>
    <row r="58" spans="1:6" ht="18" x14ac:dyDescent="0.35">
      <c r="A58" s="17" t="s">
        <v>64</v>
      </c>
      <c r="B58" s="17">
        <v>28</v>
      </c>
      <c r="C58" s="17">
        <v>46</v>
      </c>
      <c r="D58" s="17">
        <v>46</v>
      </c>
      <c r="E58" s="17">
        <v>42</v>
      </c>
      <c r="F58" s="17">
        <v>4</v>
      </c>
    </row>
    <row r="59" spans="1:6" ht="18" x14ac:dyDescent="0.35">
      <c r="A59" s="17" t="s">
        <v>65</v>
      </c>
      <c r="B59" s="17">
        <v>44</v>
      </c>
      <c r="C59" s="17">
        <v>83</v>
      </c>
      <c r="D59" s="17">
        <v>147</v>
      </c>
      <c r="E59" s="17">
        <v>331</v>
      </c>
      <c r="F59" s="17">
        <v>1</v>
      </c>
    </row>
    <row r="60" spans="1:6" ht="18" x14ac:dyDescent="0.35">
      <c r="A60" s="17" t="s">
        <v>66</v>
      </c>
      <c r="B60" s="17">
        <v>98</v>
      </c>
      <c r="C60" s="17">
        <v>721</v>
      </c>
      <c r="D60" s="17">
        <v>1415</v>
      </c>
      <c r="E60" s="17">
        <v>2462</v>
      </c>
      <c r="F60" s="17">
        <v>6</v>
      </c>
    </row>
    <row r="61" spans="1:6" ht="18" x14ac:dyDescent="0.35">
      <c r="A61" s="17" t="s">
        <v>67</v>
      </c>
      <c r="B61" s="17">
        <v>137</v>
      </c>
      <c r="C61" s="17">
        <v>697</v>
      </c>
      <c r="D61" s="17">
        <v>1153</v>
      </c>
      <c r="E61" s="17">
        <v>1538</v>
      </c>
      <c r="F61" s="17">
        <v>5</v>
      </c>
    </row>
    <row r="62" spans="1:6" ht="18" x14ac:dyDescent="0.35">
      <c r="A62" s="17" t="s">
        <v>68</v>
      </c>
      <c r="B62" s="17">
        <v>23</v>
      </c>
      <c r="C62" s="17">
        <v>107</v>
      </c>
      <c r="D62" s="17">
        <v>87</v>
      </c>
      <c r="E62" s="17">
        <v>100</v>
      </c>
      <c r="F62" s="17">
        <v>5</v>
      </c>
    </row>
    <row r="63" spans="1:6" ht="18" x14ac:dyDescent="0.35">
      <c r="A63" s="17" t="s">
        <v>69</v>
      </c>
      <c r="B63" s="17">
        <v>29</v>
      </c>
      <c r="C63" s="17">
        <v>73</v>
      </c>
      <c r="D63" s="17">
        <v>29</v>
      </c>
      <c r="E63" s="17">
        <v>59</v>
      </c>
      <c r="F63" s="17">
        <v>2</v>
      </c>
    </row>
    <row r="64" spans="1:6" ht="18" x14ac:dyDescent="0.35">
      <c r="A64" s="17" t="s">
        <v>70</v>
      </c>
      <c r="B64" s="17">
        <v>34</v>
      </c>
      <c r="C64" s="17">
        <v>206</v>
      </c>
      <c r="D64" s="17">
        <v>345</v>
      </c>
      <c r="E64" s="17">
        <v>191</v>
      </c>
      <c r="F64" s="17">
        <v>0</v>
      </c>
    </row>
    <row r="65" spans="1:6" ht="18" x14ac:dyDescent="0.35">
      <c r="A65" s="17" t="s">
        <v>71</v>
      </c>
      <c r="B65" s="17">
        <v>9</v>
      </c>
      <c r="C65" s="17">
        <v>11</v>
      </c>
      <c r="D65" s="17">
        <v>90</v>
      </c>
      <c r="E65" s="17">
        <v>42</v>
      </c>
      <c r="F65" s="17">
        <v>5</v>
      </c>
    </row>
    <row r="66" spans="1:6" ht="18" x14ac:dyDescent="0.35">
      <c r="A66" s="17" t="s">
        <v>72</v>
      </c>
      <c r="B66" s="17">
        <v>15</v>
      </c>
      <c r="C66" s="17">
        <v>97</v>
      </c>
      <c r="D66" s="17">
        <v>54</v>
      </c>
      <c r="E66" s="17">
        <v>78</v>
      </c>
      <c r="F66" s="17">
        <v>3</v>
      </c>
    </row>
    <row r="67" spans="1:6" ht="18" x14ac:dyDescent="0.35">
      <c r="A67" s="17" t="s">
        <v>73</v>
      </c>
      <c r="B67" s="17">
        <v>26</v>
      </c>
      <c r="C67" s="17">
        <v>256</v>
      </c>
      <c r="D67" s="17">
        <v>213</v>
      </c>
      <c r="E67" s="17">
        <v>524</v>
      </c>
      <c r="F67" s="17">
        <v>1</v>
      </c>
    </row>
    <row r="68" spans="1:6" ht="18" x14ac:dyDescent="0.35">
      <c r="A68" s="17" t="s">
        <v>74</v>
      </c>
      <c r="B68" s="17">
        <v>15</v>
      </c>
      <c r="C68" s="17">
        <v>42</v>
      </c>
      <c r="D68" s="17">
        <v>25</v>
      </c>
      <c r="E68" s="17">
        <v>74</v>
      </c>
      <c r="F68" s="17">
        <v>3</v>
      </c>
    </row>
    <row r="69" spans="1:6" ht="18" x14ac:dyDescent="0.35">
      <c r="A69" s="17" t="s">
        <v>75</v>
      </c>
      <c r="B69" s="17">
        <v>40</v>
      </c>
      <c r="C69" s="17">
        <v>73</v>
      </c>
      <c r="D69" s="17">
        <v>88</v>
      </c>
      <c r="E69" s="17">
        <v>99</v>
      </c>
      <c r="F69" s="17">
        <v>5</v>
      </c>
    </row>
    <row r="70" spans="1:6" ht="18" x14ac:dyDescent="0.35">
      <c r="A70" s="17" t="s">
        <v>76</v>
      </c>
      <c r="B70" s="17">
        <v>17</v>
      </c>
      <c r="C70" s="17">
        <v>80</v>
      </c>
      <c r="D70" s="17">
        <v>98</v>
      </c>
      <c r="E70" s="17">
        <v>74</v>
      </c>
      <c r="F70" s="17">
        <v>5</v>
      </c>
    </row>
    <row r="71" spans="1:6" ht="18" x14ac:dyDescent="0.35">
      <c r="A71" s="17" t="s">
        <v>77</v>
      </c>
      <c r="B71" s="17">
        <v>38</v>
      </c>
      <c r="C71" s="17">
        <v>103</v>
      </c>
      <c r="D71" s="17">
        <v>76</v>
      </c>
      <c r="E71" s="17">
        <v>72</v>
      </c>
      <c r="F71" s="17">
        <v>3</v>
      </c>
    </row>
    <row r="72" spans="1:6" ht="18" x14ac:dyDescent="0.35">
      <c r="A72" s="17" t="s">
        <v>78</v>
      </c>
      <c r="B72" s="17">
        <v>10</v>
      </c>
      <c r="C72" s="17">
        <v>11</v>
      </c>
      <c r="D72" s="17">
        <v>70</v>
      </c>
      <c r="E72" s="17">
        <v>49</v>
      </c>
      <c r="F72" s="17">
        <v>5</v>
      </c>
    </row>
    <row r="73" spans="1:6" ht="18" x14ac:dyDescent="0.35">
      <c r="A73" s="17" t="s">
        <v>79</v>
      </c>
      <c r="B73" s="17">
        <v>16</v>
      </c>
      <c r="C73" s="17">
        <v>12</v>
      </c>
      <c r="D73" s="17">
        <v>90</v>
      </c>
      <c r="E73" s="17">
        <v>88</v>
      </c>
      <c r="F73" s="17">
        <v>3</v>
      </c>
    </row>
    <row r="74" spans="1:6" ht="18" x14ac:dyDescent="0.35">
      <c r="A74" s="17" t="s">
        <v>80</v>
      </c>
      <c r="B74" s="17">
        <v>8</v>
      </c>
      <c r="C74" s="17">
        <v>99</v>
      </c>
      <c r="D74" s="17">
        <v>76</v>
      </c>
      <c r="E74" s="17">
        <v>29</v>
      </c>
      <c r="F74" s="17">
        <v>0</v>
      </c>
    </row>
    <row r="75" spans="1:6" ht="18" x14ac:dyDescent="0.35">
      <c r="A75" s="17" t="s">
        <v>81</v>
      </c>
      <c r="B75" s="17">
        <v>27</v>
      </c>
      <c r="C75" s="17">
        <v>129</v>
      </c>
      <c r="D75" s="17">
        <v>214</v>
      </c>
      <c r="E75" s="17">
        <v>194</v>
      </c>
      <c r="F75" s="17">
        <v>4</v>
      </c>
    </row>
    <row r="76" spans="1:6" ht="18" x14ac:dyDescent="0.35">
      <c r="A76" s="17" t="s">
        <v>82</v>
      </c>
      <c r="B76" s="17">
        <v>72</v>
      </c>
      <c r="C76" s="17">
        <v>56</v>
      </c>
      <c r="D76" s="17">
        <v>101</v>
      </c>
      <c r="E76" s="17">
        <v>581</v>
      </c>
      <c r="F76" s="17">
        <v>1</v>
      </c>
    </row>
    <row r="77" spans="1:6" ht="18" x14ac:dyDescent="0.35">
      <c r="A77" s="17" t="s">
        <v>83</v>
      </c>
      <c r="B77" s="17">
        <v>8</v>
      </c>
      <c r="C77" s="17">
        <v>12</v>
      </c>
      <c r="D77" s="17">
        <v>31</v>
      </c>
      <c r="E77" s="17">
        <v>64</v>
      </c>
      <c r="F77" s="17">
        <v>4</v>
      </c>
    </row>
    <row r="78" spans="1:6" ht="18" x14ac:dyDescent="0.35">
      <c r="A78" s="17" t="s">
        <v>84</v>
      </c>
      <c r="B78" s="17">
        <v>75</v>
      </c>
      <c r="C78" s="17">
        <v>659</v>
      </c>
      <c r="D78" s="17">
        <v>1888</v>
      </c>
      <c r="E78" s="17">
        <v>862</v>
      </c>
      <c r="F78" s="17">
        <v>1</v>
      </c>
    </row>
    <row r="79" spans="1:6" ht="18" x14ac:dyDescent="0.35">
      <c r="A79" s="17" t="s">
        <v>85</v>
      </c>
      <c r="B79" s="17">
        <v>47</v>
      </c>
      <c r="C79" s="17">
        <v>286</v>
      </c>
      <c r="D79" s="17">
        <v>99</v>
      </c>
      <c r="E79" s="17">
        <v>433</v>
      </c>
      <c r="F79" s="17">
        <v>1</v>
      </c>
    </row>
    <row r="80" spans="1:6" ht="18" x14ac:dyDescent="0.35">
      <c r="A80" s="17" t="s">
        <v>86</v>
      </c>
      <c r="B80" s="17">
        <v>32</v>
      </c>
      <c r="C80" s="17">
        <v>56</v>
      </c>
      <c r="D80" s="17">
        <v>90</v>
      </c>
      <c r="E80" s="17">
        <v>74</v>
      </c>
      <c r="F80" s="17">
        <v>4</v>
      </c>
    </row>
    <row r="81" spans="1:6" ht="18" x14ac:dyDescent="0.35">
      <c r="A81" s="17" t="s">
        <v>87</v>
      </c>
      <c r="B81" s="17">
        <v>132</v>
      </c>
      <c r="C81" s="17">
        <v>631</v>
      </c>
      <c r="D81" s="17">
        <v>1257</v>
      </c>
      <c r="E81" s="17">
        <v>841</v>
      </c>
      <c r="F81" s="17">
        <v>3</v>
      </c>
    </row>
    <row r="82" spans="1:6" ht="18" x14ac:dyDescent="0.35">
      <c r="A82" s="17" t="s">
        <v>88</v>
      </c>
      <c r="B82" s="17">
        <v>69</v>
      </c>
      <c r="C82" s="17">
        <v>227</v>
      </c>
      <c r="D82" s="17">
        <v>317</v>
      </c>
      <c r="E82" s="17">
        <v>592</v>
      </c>
      <c r="F82" s="17">
        <v>2</v>
      </c>
    </row>
    <row r="83" spans="1:6" ht="18" x14ac:dyDescent="0.35">
      <c r="A83" s="17" t="s">
        <v>89</v>
      </c>
      <c r="B83" s="17">
        <v>26</v>
      </c>
      <c r="C83" s="17">
        <v>132</v>
      </c>
      <c r="D83" s="17">
        <v>194</v>
      </c>
      <c r="E83" s="17">
        <v>393</v>
      </c>
      <c r="F83" s="17">
        <v>0</v>
      </c>
    </row>
    <row r="84" spans="1:6" ht="18" x14ac:dyDescent="0.35">
      <c r="A84" s="17" t="s">
        <v>90</v>
      </c>
      <c r="B84" s="17">
        <v>40</v>
      </c>
      <c r="C84" s="17">
        <v>120</v>
      </c>
      <c r="D84" s="17">
        <v>98</v>
      </c>
      <c r="E84" s="17">
        <v>41</v>
      </c>
      <c r="F84" s="17">
        <v>0</v>
      </c>
    </row>
    <row r="85" spans="1:6" ht="18" x14ac:dyDescent="0.35">
      <c r="A85" s="17" t="s">
        <v>91</v>
      </c>
      <c r="B85" s="17">
        <v>42</v>
      </c>
      <c r="C85" s="17">
        <v>212</v>
      </c>
      <c r="D85" s="17">
        <v>400</v>
      </c>
      <c r="E85" s="17">
        <v>585</v>
      </c>
      <c r="F85" s="17">
        <v>0</v>
      </c>
    </row>
    <row r="86" spans="1:6" ht="18" x14ac:dyDescent="0.35">
      <c r="A86" s="17" t="s">
        <v>92</v>
      </c>
      <c r="B86" s="17">
        <v>11</v>
      </c>
      <c r="C86" s="17">
        <v>53</v>
      </c>
      <c r="D86" s="17">
        <v>34</v>
      </c>
      <c r="E86" s="17">
        <v>89</v>
      </c>
      <c r="F86" s="17">
        <v>5</v>
      </c>
    </row>
    <row r="87" spans="1:6" ht="18" x14ac:dyDescent="0.35">
      <c r="A87" s="17" t="s">
        <v>93</v>
      </c>
      <c r="B87" s="17">
        <v>92</v>
      </c>
      <c r="C87" s="17">
        <v>839</v>
      </c>
      <c r="D87" s="17">
        <v>1745</v>
      </c>
      <c r="E87" s="17">
        <v>1698</v>
      </c>
      <c r="F87" s="17">
        <v>1</v>
      </c>
    </row>
    <row r="88" spans="1:6" ht="18" x14ac:dyDescent="0.35">
      <c r="A88" s="17" t="s">
        <v>94</v>
      </c>
      <c r="B88" s="17">
        <v>28</v>
      </c>
      <c r="C88" s="17">
        <v>44</v>
      </c>
      <c r="D88" s="17">
        <v>28</v>
      </c>
      <c r="E88" s="17">
        <v>34</v>
      </c>
      <c r="F88" s="17">
        <v>4</v>
      </c>
    </row>
    <row r="89" spans="1:6" ht="18" x14ac:dyDescent="0.35">
      <c r="A89" s="17" t="s">
        <v>95</v>
      </c>
      <c r="B89" s="17">
        <v>216</v>
      </c>
      <c r="C89" s="17">
        <v>935</v>
      </c>
      <c r="D89" s="17">
        <v>622</v>
      </c>
      <c r="E89" s="17">
        <v>3386</v>
      </c>
      <c r="F89" s="17">
        <v>6</v>
      </c>
    </row>
    <row r="90" spans="1:6" ht="18" x14ac:dyDescent="0.35">
      <c r="A90" s="17" t="s">
        <v>96</v>
      </c>
      <c r="B90" s="17">
        <v>206</v>
      </c>
      <c r="C90" s="17">
        <v>394</v>
      </c>
      <c r="D90" s="17">
        <v>1944</v>
      </c>
      <c r="E90" s="17">
        <v>704</v>
      </c>
      <c r="F90" s="17">
        <v>4</v>
      </c>
    </row>
    <row r="91" spans="1:6" ht="18" x14ac:dyDescent="0.35">
      <c r="A91" s="17" t="s">
        <v>97</v>
      </c>
      <c r="B91" s="17">
        <v>14</v>
      </c>
      <c r="C91" s="17">
        <v>51</v>
      </c>
      <c r="D91" s="17">
        <v>77</v>
      </c>
      <c r="E91" s="17">
        <v>28</v>
      </c>
      <c r="F91" s="17">
        <v>4</v>
      </c>
    </row>
    <row r="92" spans="1:6" ht="18" x14ac:dyDescent="0.35">
      <c r="A92" s="17" t="s">
        <v>98</v>
      </c>
      <c r="B92" s="17">
        <v>22</v>
      </c>
      <c r="C92" s="17">
        <v>108</v>
      </c>
      <c r="D92" s="17">
        <v>209</v>
      </c>
      <c r="E92" s="17">
        <v>189</v>
      </c>
      <c r="F92" s="17">
        <v>2</v>
      </c>
    </row>
    <row r="93" spans="1:6" ht="18" x14ac:dyDescent="0.35">
      <c r="A93" s="17" t="s">
        <v>99</v>
      </c>
      <c r="B93" s="17">
        <v>31</v>
      </c>
      <c r="C93" s="17">
        <v>97</v>
      </c>
      <c r="D93" s="17">
        <v>21</v>
      </c>
      <c r="E93" s="17">
        <v>59</v>
      </c>
      <c r="F93" s="17">
        <v>4</v>
      </c>
    </row>
    <row r="94" spans="1:6" ht="18" x14ac:dyDescent="0.35">
      <c r="A94" s="17" t="s">
        <v>100</v>
      </c>
      <c r="B94" s="17">
        <v>29</v>
      </c>
      <c r="C94" s="17">
        <v>267</v>
      </c>
      <c r="D94" s="17">
        <v>351</v>
      </c>
      <c r="E94" s="17">
        <v>203</v>
      </c>
      <c r="F94" s="17">
        <v>4</v>
      </c>
    </row>
    <row r="95" spans="1:6" ht="18" x14ac:dyDescent="0.35">
      <c r="A95" s="17" t="s">
        <v>101</v>
      </c>
      <c r="B95" s="17">
        <v>59</v>
      </c>
      <c r="C95" s="17">
        <v>298</v>
      </c>
      <c r="D95" s="17">
        <v>172</v>
      </c>
      <c r="E95" s="17">
        <v>311</v>
      </c>
      <c r="F95" s="17">
        <v>4</v>
      </c>
    </row>
    <row r="96" spans="1:6" ht="18" x14ac:dyDescent="0.35">
      <c r="A96" s="17" t="s">
        <v>102</v>
      </c>
      <c r="B96" s="17">
        <v>72</v>
      </c>
      <c r="C96" s="17">
        <v>236</v>
      </c>
      <c r="D96" s="17">
        <v>165</v>
      </c>
      <c r="E96" s="17">
        <v>159</v>
      </c>
      <c r="F96" s="17">
        <v>2</v>
      </c>
    </row>
    <row r="97" spans="1:6" ht="18" x14ac:dyDescent="0.35">
      <c r="A97" s="17" t="s">
        <v>103</v>
      </c>
      <c r="B97" s="17">
        <v>13</v>
      </c>
      <c r="C97" s="17">
        <v>72</v>
      </c>
      <c r="D97" s="17">
        <v>28</v>
      </c>
      <c r="E97" s="17">
        <v>52</v>
      </c>
      <c r="F97" s="17">
        <v>3</v>
      </c>
    </row>
    <row r="98" spans="1:6" ht="18" x14ac:dyDescent="0.35">
      <c r="A98" s="17" t="s">
        <v>104</v>
      </c>
      <c r="B98" s="17">
        <v>39</v>
      </c>
      <c r="C98" s="17">
        <v>110</v>
      </c>
      <c r="D98" s="17">
        <v>39</v>
      </c>
      <c r="E98" s="17">
        <v>25</v>
      </c>
      <c r="F98" s="17">
        <v>0</v>
      </c>
    </row>
    <row r="99" spans="1:6" ht="18" x14ac:dyDescent="0.35">
      <c r="A99" s="17" t="s">
        <v>105</v>
      </c>
      <c r="B99" s="17">
        <v>53</v>
      </c>
      <c r="C99" s="17">
        <v>83</v>
      </c>
      <c r="D99" s="17">
        <v>85</v>
      </c>
      <c r="E99" s="17">
        <v>390</v>
      </c>
      <c r="F99" s="17">
        <v>3</v>
      </c>
    </row>
    <row r="100" spans="1:6" ht="18" x14ac:dyDescent="0.35">
      <c r="A100" s="17" t="s">
        <v>106</v>
      </c>
      <c r="B100" s="17">
        <v>57</v>
      </c>
      <c r="C100" s="17">
        <v>836</v>
      </c>
      <c r="D100" s="17">
        <v>644</v>
      </c>
      <c r="E100" s="17">
        <v>523</v>
      </c>
      <c r="F100" s="17">
        <v>3</v>
      </c>
    </row>
    <row r="101" spans="1:6" ht="18" x14ac:dyDescent="0.35">
      <c r="A101" s="17" t="s">
        <v>107</v>
      </c>
      <c r="B101" s="17">
        <v>161</v>
      </c>
      <c r="C101" s="17">
        <v>1061</v>
      </c>
      <c r="D101" s="17">
        <v>1994</v>
      </c>
      <c r="E101" s="17">
        <v>674</v>
      </c>
      <c r="F101" s="17">
        <v>1</v>
      </c>
    </row>
    <row r="102" spans="1:6" ht="18" x14ac:dyDescent="0.35">
      <c r="A102" s="17" t="s">
        <v>108</v>
      </c>
      <c r="B102" s="17">
        <v>18</v>
      </c>
      <c r="C102" s="17">
        <v>141</v>
      </c>
      <c r="D102" s="17">
        <v>328</v>
      </c>
      <c r="E102" s="17">
        <v>452</v>
      </c>
      <c r="F102" s="17">
        <v>2</v>
      </c>
    </row>
    <row r="103" spans="1:6" ht="18" x14ac:dyDescent="0.35">
      <c r="A103" s="17" t="s">
        <v>109</v>
      </c>
      <c r="B103" s="17">
        <v>68</v>
      </c>
      <c r="C103" s="17">
        <v>51</v>
      </c>
      <c r="D103" s="17">
        <v>352</v>
      </c>
      <c r="E103" s="17">
        <v>430</v>
      </c>
      <c r="F103" s="17">
        <v>4</v>
      </c>
    </row>
    <row r="104" spans="1:6" ht="18" x14ac:dyDescent="0.35">
      <c r="A104" s="17" t="s">
        <v>110</v>
      </c>
      <c r="B104" s="17">
        <v>24</v>
      </c>
      <c r="C104" s="17">
        <v>13</v>
      </c>
      <c r="D104" s="17">
        <v>52</v>
      </c>
      <c r="E104" s="17">
        <v>61</v>
      </c>
      <c r="F104" s="17">
        <v>0</v>
      </c>
    </row>
    <row r="105" spans="1:6" ht="18" x14ac:dyDescent="0.35">
      <c r="A105" s="17" t="s">
        <v>111</v>
      </c>
      <c r="B105" s="17">
        <v>74</v>
      </c>
      <c r="C105" s="17">
        <v>273</v>
      </c>
      <c r="D105" s="17">
        <v>164</v>
      </c>
      <c r="E105" s="17">
        <v>339</v>
      </c>
      <c r="F105" s="17">
        <v>3</v>
      </c>
    </row>
    <row r="106" spans="1:6" ht="18" x14ac:dyDescent="0.35">
      <c r="A106" s="17" t="s">
        <v>112</v>
      </c>
      <c r="B106" s="17">
        <v>16</v>
      </c>
      <c r="C106" s="17">
        <v>86</v>
      </c>
      <c r="D106" s="17">
        <v>58</v>
      </c>
      <c r="E106" s="17">
        <v>39</v>
      </c>
      <c r="F106" s="17">
        <v>3</v>
      </c>
    </row>
    <row r="107" spans="1:6" ht="18" x14ac:dyDescent="0.35">
      <c r="A107" s="17" t="s">
        <v>113</v>
      </c>
      <c r="B107" s="17">
        <v>57</v>
      </c>
      <c r="C107" s="17">
        <v>274</v>
      </c>
      <c r="D107" s="17">
        <v>390</v>
      </c>
      <c r="E107" s="17">
        <v>585</v>
      </c>
      <c r="F107" s="17">
        <v>1</v>
      </c>
    </row>
    <row r="108" spans="1:6" ht="18" x14ac:dyDescent="0.35">
      <c r="A108" s="17" t="s">
        <v>114</v>
      </c>
      <c r="B108" s="17">
        <v>29</v>
      </c>
      <c r="C108" s="17">
        <v>174</v>
      </c>
      <c r="D108" s="17">
        <v>307</v>
      </c>
      <c r="E108" s="17">
        <v>413</v>
      </c>
      <c r="F108" s="17">
        <v>3</v>
      </c>
    </row>
    <row r="109" spans="1:6" ht="18" x14ac:dyDescent="0.35">
      <c r="A109" s="17" t="s">
        <v>115</v>
      </c>
      <c r="B109" s="17">
        <v>14</v>
      </c>
      <c r="C109" s="17">
        <v>83</v>
      </c>
      <c r="D109" s="17">
        <v>70</v>
      </c>
      <c r="E109" s="17">
        <v>48</v>
      </c>
      <c r="F109" s="17">
        <v>3</v>
      </c>
    </row>
    <row r="110" spans="1:6" ht="18" x14ac:dyDescent="0.35">
      <c r="A110" s="17" t="s">
        <v>116</v>
      </c>
      <c r="B110" s="17">
        <v>6</v>
      </c>
      <c r="C110" s="17">
        <v>88</v>
      </c>
      <c r="D110" s="17">
        <v>35</v>
      </c>
      <c r="E110" s="17">
        <v>25</v>
      </c>
      <c r="F110" s="17">
        <v>0</v>
      </c>
    </row>
    <row r="111" spans="1:6" ht="18" x14ac:dyDescent="0.35">
      <c r="A111" s="17" t="s">
        <v>117</v>
      </c>
      <c r="B111" s="17">
        <v>34</v>
      </c>
      <c r="C111" s="17">
        <v>24</v>
      </c>
      <c r="D111" s="17">
        <v>47</v>
      </c>
      <c r="E111" s="17">
        <v>22</v>
      </c>
      <c r="F111" s="17">
        <v>4</v>
      </c>
    </row>
    <row r="112" spans="1:6" ht="18" x14ac:dyDescent="0.35">
      <c r="A112" s="17" t="s">
        <v>118</v>
      </c>
      <c r="B112" s="17">
        <v>231</v>
      </c>
      <c r="C112" s="17">
        <v>698</v>
      </c>
      <c r="D112" s="17">
        <v>1502</v>
      </c>
      <c r="E112" s="17">
        <v>2631</v>
      </c>
      <c r="F112" s="17">
        <v>5</v>
      </c>
    </row>
    <row r="113" spans="1:6" ht="18" x14ac:dyDescent="0.35">
      <c r="A113" s="17" t="s">
        <v>119</v>
      </c>
      <c r="B113" s="17">
        <v>40</v>
      </c>
      <c r="C113" s="17">
        <v>17</v>
      </c>
      <c r="D113" s="17">
        <v>80</v>
      </c>
      <c r="E113" s="17">
        <v>55</v>
      </c>
      <c r="F113" s="17">
        <v>5</v>
      </c>
    </row>
    <row r="114" spans="1:6" ht="18" x14ac:dyDescent="0.35">
      <c r="A114" s="17" t="s">
        <v>120</v>
      </c>
      <c r="B114" s="17">
        <v>30</v>
      </c>
      <c r="C114" s="17">
        <v>242</v>
      </c>
      <c r="D114" s="17">
        <v>364</v>
      </c>
      <c r="E114" s="17">
        <v>127</v>
      </c>
      <c r="F114" s="17">
        <v>1</v>
      </c>
    </row>
    <row r="115" spans="1:6" ht="18" x14ac:dyDescent="0.35">
      <c r="A115" s="17" t="s">
        <v>121</v>
      </c>
      <c r="B115" s="17">
        <v>67</v>
      </c>
      <c r="C115" s="17">
        <v>50</v>
      </c>
      <c r="D115" s="17">
        <v>199</v>
      </c>
      <c r="E115" s="17">
        <v>361</v>
      </c>
      <c r="F115" s="17">
        <v>0</v>
      </c>
    </row>
    <row r="116" spans="1:6" ht="18" x14ac:dyDescent="0.35">
      <c r="A116" s="17" t="s">
        <v>122</v>
      </c>
      <c r="B116" s="17">
        <v>223</v>
      </c>
      <c r="C116" s="17">
        <v>485</v>
      </c>
      <c r="D116" s="17">
        <v>733</v>
      </c>
      <c r="E116" s="17">
        <v>1967</v>
      </c>
      <c r="F116" s="17">
        <v>1</v>
      </c>
    </row>
    <row r="117" spans="1:6" ht="18" x14ac:dyDescent="0.35">
      <c r="A117" s="17" t="s">
        <v>123</v>
      </c>
      <c r="B117" s="17">
        <v>184</v>
      </c>
      <c r="C117" s="17">
        <v>1079</v>
      </c>
      <c r="D117" s="17">
        <v>311</v>
      </c>
      <c r="E117" s="17">
        <v>2538</v>
      </c>
      <c r="F117" s="17">
        <v>4</v>
      </c>
    </row>
    <row r="118" spans="1:6" ht="18" x14ac:dyDescent="0.35">
      <c r="A118" s="17" t="s">
        <v>124</v>
      </c>
      <c r="B118" s="17">
        <v>107</v>
      </c>
      <c r="C118" s="17">
        <v>778</v>
      </c>
      <c r="D118" s="17">
        <v>854</v>
      </c>
      <c r="E118" s="17">
        <v>2822</v>
      </c>
      <c r="F118" s="17">
        <v>2</v>
      </c>
    </row>
    <row r="119" spans="1:6" ht="18" x14ac:dyDescent="0.35">
      <c r="A119" s="17" t="s">
        <v>125</v>
      </c>
      <c r="B119" s="17">
        <v>53</v>
      </c>
      <c r="C119" s="17">
        <v>167</v>
      </c>
      <c r="D119" s="17">
        <v>328</v>
      </c>
      <c r="E119" s="17">
        <v>313</v>
      </c>
      <c r="F119" s="17">
        <v>2</v>
      </c>
    </row>
    <row r="120" spans="1:6" ht="18" x14ac:dyDescent="0.35">
      <c r="A120" s="17" t="s">
        <v>126</v>
      </c>
      <c r="B120" s="17">
        <v>21</v>
      </c>
      <c r="C120" s="17">
        <v>103</v>
      </c>
      <c r="D120" s="17">
        <v>53</v>
      </c>
      <c r="E120" s="17">
        <v>88</v>
      </c>
      <c r="F120" s="17">
        <v>1</v>
      </c>
    </row>
    <row r="121" spans="1:6" ht="18" x14ac:dyDescent="0.35">
      <c r="A121" s="17" t="s">
        <v>127</v>
      </c>
      <c r="B121" s="17">
        <v>187</v>
      </c>
      <c r="C121" s="17">
        <v>282</v>
      </c>
      <c r="D121" s="17">
        <v>1255</v>
      </c>
      <c r="E121" s="17">
        <v>1552</v>
      </c>
      <c r="F121" s="17">
        <v>6</v>
      </c>
    </row>
    <row r="122" spans="1:6" ht="18" x14ac:dyDescent="0.35">
      <c r="A122" s="17" t="s">
        <v>128</v>
      </c>
      <c r="B122" s="17">
        <v>21</v>
      </c>
      <c r="C122" s="17">
        <v>77</v>
      </c>
      <c r="D122" s="17">
        <v>34</v>
      </c>
      <c r="E122" s="17">
        <v>45</v>
      </c>
      <c r="F122" s="17">
        <v>4</v>
      </c>
    </row>
    <row r="123" spans="1:6" ht="18" x14ac:dyDescent="0.35">
      <c r="A123" s="17" t="s">
        <v>129</v>
      </c>
      <c r="B123" s="17">
        <v>238</v>
      </c>
      <c r="C123" s="17">
        <v>937</v>
      </c>
      <c r="D123" s="17">
        <v>594</v>
      </c>
      <c r="E123" s="17">
        <v>556</v>
      </c>
      <c r="F123" s="17">
        <v>6</v>
      </c>
    </row>
    <row r="124" spans="1:6" ht="18" x14ac:dyDescent="0.35">
      <c r="A124" s="17" t="s">
        <v>130</v>
      </c>
      <c r="B124" s="17">
        <v>132</v>
      </c>
      <c r="C124" s="17">
        <v>987</v>
      </c>
      <c r="D124" s="17">
        <v>839</v>
      </c>
      <c r="E124" s="17">
        <v>2561</v>
      </c>
      <c r="F124" s="17">
        <v>1</v>
      </c>
    </row>
    <row r="125" spans="1:6" ht="18" x14ac:dyDescent="0.35">
      <c r="A125" s="17" t="s">
        <v>131</v>
      </c>
      <c r="B125" s="17">
        <v>47</v>
      </c>
      <c r="C125" s="17">
        <v>244</v>
      </c>
      <c r="D125" s="17">
        <v>296</v>
      </c>
      <c r="E125" s="17">
        <v>310</v>
      </c>
      <c r="F125" s="17">
        <v>4</v>
      </c>
    </row>
    <row r="126" spans="1:6" ht="18" x14ac:dyDescent="0.35">
      <c r="A126" s="17" t="s">
        <v>132</v>
      </c>
      <c r="B126" s="17">
        <v>24</v>
      </c>
      <c r="C126" s="17">
        <v>189</v>
      </c>
      <c r="D126" s="17">
        <v>392</v>
      </c>
      <c r="E126" s="17">
        <v>460</v>
      </c>
      <c r="F126" s="17">
        <v>0</v>
      </c>
    </row>
    <row r="127" spans="1:6" ht="18" x14ac:dyDescent="0.35">
      <c r="A127" s="17" t="s">
        <v>133</v>
      </c>
      <c r="B127" s="17">
        <v>249</v>
      </c>
      <c r="C127" s="17">
        <v>487</v>
      </c>
      <c r="D127" s="17">
        <v>1955</v>
      </c>
      <c r="E127" s="17">
        <v>653</v>
      </c>
      <c r="F127" s="17">
        <v>1</v>
      </c>
    </row>
    <row r="128" spans="1:6" ht="18" x14ac:dyDescent="0.35">
      <c r="A128" s="17" t="s">
        <v>134</v>
      </c>
      <c r="B128" s="17">
        <v>37</v>
      </c>
      <c r="C128" s="17">
        <v>52</v>
      </c>
      <c r="D128" s="17">
        <v>314</v>
      </c>
      <c r="E128" s="17">
        <v>484</v>
      </c>
      <c r="F128" s="17">
        <v>2</v>
      </c>
    </row>
    <row r="129" spans="1:6" ht="18" x14ac:dyDescent="0.35">
      <c r="A129" s="17" t="s">
        <v>135</v>
      </c>
      <c r="B129" s="17">
        <v>19</v>
      </c>
      <c r="C129" s="17">
        <v>40</v>
      </c>
      <c r="D129" s="17">
        <v>59</v>
      </c>
      <c r="E129" s="17">
        <v>100</v>
      </c>
      <c r="F129" s="17">
        <v>3</v>
      </c>
    </row>
    <row r="130" spans="1:6" ht="18" x14ac:dyDescent="0.35">
      <c r="A130" s="17" t="s">
        <v>136</v>
      </c>
      <c r="B130" s="17">
        <v>11</v>
      </c>
      <c r="C130" s="17">
        <v>75</v>
      </c>
      <c r="D130" s="17">
        <v>85</v>
      </c>
      <c r="E130" s="17">
        <v>76</v>
      </c>
      <c r="F130" s="17">
        <v>2</v>
      </c>
    </row>
    <row r="131" spans="1:6" ht="18" x14ac:dyDescent="0.35">
      <c r="A131" s="17" t="s">
        <v>137</v>
      </c>
      <c r="B131" s="17">
        <v>54</v>
      </c>
      <c r="C131" s="17">
        <v>102</v>
      </c>
      <c r="D131" s="17">
        <v>289</v>
      </c>
      <c r="E131" s="17">
        <v>107</v>
      </c>
      <c r="F131" s="17">
        <v>4</v>
      </c>
    </row>
    <row r="132" spans="1:6" ht="18" x14ac:dyDescent="0.35">
      <c r="A132" s="17" t="s">
        <v>138</v>
      </c>
      <c r="B132" s="17">
        <v>223</v>
      </c>
      <c r="C132" s="17">
        <v>687</v>
      </c>
      <c r="D132" s="17">
        <v>824</v>
      </c>
      <c r="E132" s="17">
        <v>709</v>
      </c>
      <c r="F132" s="17">
        <v>3</v>
      </c>
    </row>
    <row r="133" spans="1:6" ht="18" x14ac:dyDescent="0.35">
      <c r="A133" s="17" t="s">
        <v>139</v>
      </c>
      <c r="B133" s="17">
        <v>14</v>
      </c>
      <c r="C133" s="17">
        <v>41</v>
      </c>
      <c r="D133" s="17">
        <v>96</v>
      </c>
      <c r="E133" s="17">
        <v>74</v>
      </c>
      <c r="F133" s="17">
        <v>0</v>
      </c>
    </row>
    <row r="134" spans="1:6" ht="18" x14ac:dyDescent="0.35">
      <c r="A134" s="17" t="s">
        <v>140</v>
      </c>
      <c r="B134" s="17">
        <v>211</v>
      </c>
      <c r="C134" s="17">
        <v>475</v>
      </c>
      <c r="D134" s="17">
        <v>630</v>
      </c>
      <c r="E134" s="17">
        <v>2227</v>
      </c>
      <c r="F134" s="17">
        <v>2</v>
      </c>
    </row>
    <row r="135" spans="1:6" ht="18" x14ac:dyDescent="0.35">
      <c r="A135" s="17" t="s">
        <v>141</v>
      </c>
      <c r="B135" s="17">
        <v>146</v>
      </c>
      <c r="C135" s="17">
        <v>457</v>
      </c>
      <c r="D135" s="17">
        <v>797</v>
      </c>
      <c r="E135" s="17">
        <v>2479</v>
      </c>
      <c r="F135" s="17">
        <v>6</v>
      </c>
    </row>
    <row r="136" spans="1:6" ht="18" x14ac:dyDescent="0.35">
      <c r="A136" s="17" t="s">
        <v>142</v>
      </c>
      <c r="B136" s="17">
        <v>24</v>
      </c>
      <c r="C136" s="17">
        <v>51</v>
      </c>
      <c r="D136" s="17">
        <v>63</v>
      </c>
      <c r="E136" s="17">
        <v>27</v>
      </c>
      <c r="F136" s="17">
        <v>0</v>
      </c>
    </row>
    <row r="137" spans="1:6" ht="18" x14ac:dyDescent="0.35">
      <c r="A137" s="17" t="s">
        <v>143</v>
      </c>
      <c r="B137" s="17">
        <v>36</v>
      </c>
      <c r="C137" s="17">
        <v>69</v>
      </c>
      <c r="D137" s="17">
        <v>56</v>
      </c>
      <c r="E137" s="17">
        <v>32</v>
      </c>
      <c r="F137" s="17">
        <v>4</v>
      </c>
    </row>
    <row r="138" spans="1:6" ht="18" x14ac:dyDescent="0.35">
      <c r="A138" s="17" t="s">
        <v>144</v>
      </c>
      <c r="B138" s="17">
        <v>162</v>
      </c>
      <c r="C138" s="17">
        <v>947</v>
      </c>
      <c r="D138" s="17">
        <v>1875</v>
      </c>
      <c r="E138" s="17">
        <v>544</v>
      </c>
      <c r="F138" s="17">
        <v>4</v>
      </c>
    </row>
    <row r="139" spans="1:6" ht="18" x14ac:dyDescent="0.35">
      <c r="A139" s="17" t="s">
        <v>145</v>
      </c>
      <c r="B139" s="17">
        <v>32</v>
      </c>
      <c r="C139" s="17">
        <v>27</v>
      </c>
      <c r="D139" s="17">
        <v>80</v>
      </c>
      <c r="E139" s="17">
        <v>44</v>
      </c>
      <c r="F139" s="17">
        <v>2</v>
      </c>
    </row>
    <row r="140" spans="1:6" ht="18" x14ac:dyDescent="0.35">
      <c r="A140" s="17" t="s">
        <v>146</v>
      </c>
      <c r="B140" s="17">
        <v>201</v>
      </c>
      <c r="C140" s="17">
        <v>870</v>
      </c>
      <c r="D140" s="17">
        <v>349</v>
      </c>
      <c r="E140" s="17">
        <v>2520</v>
      </c>
      <c r="F140" s="17">
        <v>1</v>
      </c>
    </row>
    <row r="141" spans="1:6" ht="18" x14ac:dyDescent="0.35">
      <c r="A141" s="17" t="s">
        <v>147</v>
      </c>
      <c r="B141" s="17">
        <v>29</v>
      </c>
      <c r="C141" s="17">
        <v>239</v>
      </c>
      <c r="D141" s="17">
        <v>319</v>
      </c>
      <c r="E141" s="17">
        <v>361</v>
      </c>
      <c r="F141" s="17">
        <v>1</v>
      </c>
    </row>
    <row r="142" spans="1:6" ht="18" x14ac:dyDescent="0.35">
      <c r="A142" s="17" t="s">
        <v>148</v>
      </c>
      <c r="B142" s="17">
        <v>28</v>
      </c>
      <c r="C142" s="17">
        <v>114</v>
      </c>
      <c r="D142" s="17">
        <v>86</v>
      </c>
      <c r="E142" s="17">
        <v>87</v>
      </c>
      <c r="F142" s="17">
        <v>1</v>
      </c>
    </row>
    <row r="143" spans="1:6" ht="18" x14ac:dyDescent="0.35">
      <c r="A143" s="17" t="s">
        <v>149</v>
      </c>
      <c r="B143" s="17">
        <v>35</v>
      </c>
      <c r="C143" s="17">
        <v>12</v>
      </c>
      <c r="D143" s="17">
        <v>73</v>
      </c>
      <c r="E143" s="17">
        <v>28</v>
      </c>
      <c r="F143" s="17">
        <v>2</v>
      </c>
    </row>
    <row r="144" spans="1:6" ht="18" x14ac:dyDescent="0.35">
      <c r="A144" s="17" t="s">
        <v>150</v>
      </c>
      <c r="B144" s="17">
        <v>16</v>
      </c>
      <c r="C144" s="17">
        <v>257</v>
      </c>
      <c r="D144" s="17">
        <v>200</v>
      </c>
      <c r="E144" s="17">
        <v>540</v>
      </c>
      <c r="F144" s="17">
        <v>0</v>
      </c>
    </row>
    <row r="145" spans="1:6" ht="18" x14ac:dyDescent="0.35">
      <c r="A145" s="17" t="s">
        <v>151</v>
      </c>
      <c r="B145" s="17">
        <v>25</v>
      </c>
      <c r="C145" s="17">
        <v>80</v>
      </c>
      <c r="D145" s="17">
        <v>26</v>
      </c>
      <c r="E145" s="17">
        <v>30</v>
      </c>
      <c r="F145" s="17">
        <v>3</v>
      </c>
    </row>
    <row r="146" spans="1:6" ht="18" x14ac:dyDescent="0.35">
      <c r="A146" s="17" t="s">
        <v>152</v>
      </c>
      <c r="B146" s="17">
        <v>80</v>
      </c>
      <c r="C146" s="17">
        <v>138</v>
      </c>
      <c r="D146" s="17">
        <v>309</v>
      </c>
      <c r="E146" s="17">
        <v>113</v>
      </c>
      <c r="F146" s="17">
        <v>1</v>
      </c>
    </row>
    <row r="147" spans="1:6" ht="18" x14ac:dyDescent="0.35">
      <c r="A147" s="17" t="s">
        <v>153</v>
      </c>
      <c r="B147" s="17">
        <v>233</v>
      </c>
      <c r="C147" s="17">
        <v>230</v>
      </c>
      <c r="D147" s="17">
        <v>531</v>
      </c>
      <c r="E147" s="17">
        <v>720</v>
      </c>
      <c r="F147" s="17">
        <v>6</v>
      </c>
    </row>
    <row r="148" spans="1:6" ht="18" x14ac:dyDescent="0.35">
      <c r="A148" s="17" t="s">
        <v>154</v>
      </c>
      <c r="B148" s="17">
        <v>48</v>
      </c>
      <c r="C148" s="17">
        <v>228</v>
      </c>
      <c r="D148" s="17">
        <v>323</v>
      </c>
      <c r="E148" s="17">
        <v>197</v>
      </c>
      <c r="F148" s="17">
        <v>2</v>
      </c>
    </row>
    <row r="149" spans="1:6" ht="18" x14ac:dyDescent="0.35">
      <c r="A149" s="17" t="s">
        <v>155</v>
      </c>
      <c r="B149" s="17">
        <v>22</v>
      </c>
      <c r="C149" s="17">
        <v>141</v>
      </c>
      <c r="D149" s="17">
        <v>90</v>
      </c>
      <c r="E149" s="17">
        <v>409</v>
      </c>
      <c r="F149" s="17">
        <v>3</v>
      </c>
    </row>
    <row r="150" spans="1:6" ht="18" x14ac:dyDescent="0.35">
      <c r="A150" s="17" t="s">
        <v>156</v>
      </c>
      <c r="B150" s="17">
        <v>50</v>
      </c>
      <c r="C150" s="17">
        <v>97</v>
      </c>
      <c r="D150" s="17">
        <v>86</v>
      </c>
      <c r="E150" s="17">
        <v>436</v>
      </c>
      <c r="F150" s="17">
        <v>0</v>
      </c>
    </row>
    <row r="151" spans="1:6" ht="18" x14ac:dyDescent="0.35">
      <c r="A151" s="17" t="s">
        <v>157</v>
      </c>
      <c r="B151" s="17">
        <v>163</v>
      </c>
      <c r="C151" s="17">
        <v>858</v>
      </c>
      <c r="D151" s="17">
        <v>1322</v>
      </c>
      <c r="E151" s="17">
        <v>3101</v>
      </c>
      <c r="F151" s="17">
        <v>4</v>
      </c>
    </row>
    <row r="152" spans="1:6" ht="18" x14ac:dyDescent="0.35">
      <c r="A152" s="17" t="s">
        <v>158</v>
      </c>
      <c r="B152" s="17">
        <v>143</v>
      </c>
      <c r="C152" s="17">
        <v>1175</v>
      </c>
      <c r="D152" s="17">
        <v>875</v>
      </c>
      <c r="E152" s="17">
        <v>2752</v>
      </c>
      <c r="F152" s="17">
        <v>3</v>
      </c>
    </row>
    <row r="153" spans="1:6" ht="18" x14ac:dyDescent="0.35">
      <c r="A153" s="17" t="s">
        <v>159</v>
      </c>
      <c r="B153" s="17">
        <v>48</v>
      </c>
      <c r="C153" s="17">
        <v>650</v>
      </c>
      <c r="D153" s="17">
        <v>1994</v>
      </c>
      <c r="E153" s="17">
        <v>1501</v>
      </c>
      <c r="F153" s="17">
        <v>4</v>
      </c>
    </row>
    <row r="154" spans="1:6" ht="18" x14ac:dyDescent="0.35">
      <c r="A154" s="17" t="s">
        <v>160</v>
      </c>
      <c r="B154" s="17">
        <v>18</v>
      </c>
      <c r="C154" s="17">
        <v>120</v>
      </c>
      <c r="D154" s="17">
        <v>345</v>
      </c>
      <c r="E154" s="17">
        <v>439</v>
      </c>
      <c r="F154" s="17">
        <v>1</v>
      </c>
    </row>
    <row r="155" spans="1:6" ht="18" x14ac:dyDescent="0.35">
      <c r="A155" s="17" t="s">
        <v>161</v>
      </c>
      <c r="B155" s="17">
        <v>15</v>
      </c>
      <c r="C155" s="17">
        <v>106</v>
      </c>
      <c r="D155" s="17">
        <v>30</v>
      </c>
      <c r="E155" s="17">
        <v>26</v>
      </c>
      <c r="F155" s="17">
        <v>1</v>
      </c>
    </row>
    <row r="156" spans="1:6" ht="18" x14ac:dyDescent="0.35">
      <c r="A156" s="17" t="s">
        <v>162</v>
      </c>
      <c r="B156" s="17">
        <v>126</v>
      </c>
      <c r="C156" s="17">
        <v>435</v>
      </c>
      <c r="D156" s="17">
        <v>1900</v>
      </c>
      <c r="E156" s="17">
        <v>1950</v>
      </c>
      <c r="F156" s="17">
        <v>2</v>
      </c>
    </row>
    <row r="157" spans="1:6" ht="18" x14ac:dyDescent="0.35">
      <c r="A157" s="17" t="s">
        <v>163</v>
      </c>
      <c r="B157" s="17">
        <v>25</v>
      </c>
      <c r="C157" s="17">
        <v>39</v>
      </c>
      <c r="D157" s="17">
        <v>86</v>
      </c>
      <c r="E157" s="17">
        <v>36</v>
      </c>
      <c r="F157" s="17">
        <v>1</v>
      </c>
    </row>
    <row r="158" spans="1:6" ht="18" x14ac:dyDescent="0.35">
      <c r="A158" s="17" t="s">
        <v>164</v>
      </c>
      <c r="B158" s="17">
        <v>11</v>
      </c>
      <c r="C158" s="17">
        <v>74</v>
      </c>
      <c r="D158" s="17">
        <v>64</v>
      </c>
      <c r="E158" s="17">
        <v>60</v>
      </c>
      <c r="F158" s="17">
        <v>2</v>
      </c>
    </row>
    <row r="159" spans="1:6" ht="18" x14ac:dyDescent="0.35">
      <c r="A159" s="17" t="s">
        <v>165</v>
      </c>
      <c r="B159" s="17">
        <v>25</v>
      </c>
      <c r="C159" s="17">
        <v>141</v>
      </c>
      <c r="D159" s="17">
        <v>109</v>
      </c>
      <c r="E159" s="17">
        <v>247</v>
      </c>
      <c r="F159" s="17">
        <v>0</v>
      </c>
    </row>
    <row r="160" spans="1:6" ht="18" x14ac:dyDescent="0.35">
      <c r="A160" s="17" t="s">
        <v>166</v>
      </c>
      <c r="B160" s="17">
        <v>202</v>
      </c>
      <c r="C160" s="17">
        <v>1166</v>
      </c>
      <c r="D160" s="17">
        <v>1271</v>
      </c>
      <c r="E160" s="17">
        <v>2357</v>
      </c>
      <c r="F160" s="17">
        <v>5</v>
      </c>
    </row>
    <row r="161" spans="1:6" ht="18" x14ac:dyDescent="0.35">
      <c r="A161" s="17" t="s">
        <v>167</v>
      </c>
      <c r="B161" s="17">
        <v>188</v>
      </c>
      <c r="C161" s="17">
        <v>697</v>
      </c>
      <c r="D161" s="17">
        <v>1882</v>
      </c>
      <c r="E161" s="17">
        <v>3490</v>
      </c>
      <c r="F161" s="17">
        <v>4</v>
      </c>
    </row>
    <row r="162" spans="1:6" ht="18" x14ac:dyDescent="0.35">
      <c r="A162" s="17" t="s">
        <v>168</v>
      </c>
      <c r="B162" s="17">
        <v>24</v>
      </c>
      <c r="C162" s="17">
        <v>36</v>
      </c>
      <c r="D162" s="17">
        <v>75</v>
      </c>
      <c r="E162" s="17">
        <v>75</v>
      </c>
      <c r="F162" s="17">
        <v>1</v>
      </c>
    </row>
    <row r="163" spans="1:6" ht="18" x14ac:dyDescent="0.35">
      <c r="A163" s="17" t="s">
        <v>169</v>
      </c>
      <c r="B163" s="17">
        <v>13</v>
      </c>
      <c r="C163" s="17">
        <v>44</v>
      </c>
      <c r="D163" s="17">
        <v>42</v>
      </c>
      <c r="E163" s="17">
        <v>33</v>
      </c>
      <c r="F163" s="17">
        <v>4</v>
      </c>
    </row>
    <row r="164" spans="1:6" ht="18" x14ac:dyDescent="0.35">
      <c r="A164" s="17" t="s">
        <v>170</v>
      </c>
      <c r="B164" s="17">
        <v>101</v>
      </c>
      <c r="C164" s="17">
        <v>331</v>
      </c>
      <c r="D164" s="17">
        <v>1899</v>
      </c>
      <c r="E164" s="17">
        <v>798</v>
      </c>
      <c r="F164" s="17">
        <v>0</v>
      </c>
    </row>
    <row r="165" spans="1:6" ht="18" x14ac:dyDescent="0.35">
      <c r="A165" s="17" t="s">
        <v>171</v>
      </c>
      <c r="B165" s="17">
        <v>29</v>
      </c>
      <c r="C165" s="17">
        <v>30</v>
      </c>
      <c r="D165" s="17">
        <v>57</v>
      </c>
      <c r="E165" s="17">
        <v>93</v>
      </c>
      <c r="F165" s="17">
        <v>3</v>
      </c>
    </row>
    <row r="166" spans="1:6" ht="18" x14ac:dyDescent="0.35">
      <c r="A166" s="17" t="s">
        <v>172</v>
      </c>
      <c r="B166" s="17">
        <v>248</v>
      </c>
      <c r="C166" s="17">
        <v>567</v>
      </c>
      <c r="D166" s="17">
        <v>1329</v>
      </c>
      <c r="E166" s="17">
        <v>2621</v>
      </c>
      <c r="F166" s="17">
        <v>4</v>
      </c>
    </row>
    <row r="167" spans="1:6" ht="18" x14ac:dyDescent="0.35">
      <c r="A167" s="17" t="s">
        <v>173</v>
      </c>
      <c r="B167" s="17">
        <v>76</v>
      </c>
      <c r="C167" s="17">
        <v>106</v>
      </c>
      <c r="D167" s="17">
        <v>131</v>
      </c>
      <c r="E167" s="17">
        <v>468</v>
      </c>
      <c r="F167" s="17">
        <v>1</v>
      </c>
    </row>
    <row r="168" spans="1:6" ht="18" x14ac:dyDescent="0.35">
      <c r="A168" s="17" t="s">
        <v>174</v>
      </c>
      <c r="B168" s="17">
        <v>15</v>
      </c>
      <c r="C168" s="17">
        <v>221</v>
      </c>
      <c r="D168" s="17">
        <v>108</v>
      </c>
      <c r="E168" s="17">
        <v>481</v>
      </c>
      <c r="F168" s="17">
        <v>3</v>
      </c>
    </row>
    <row r="169" spans="1:6" ht="18" x14ac:dyDescent="0.35">
      <c r="A169" s="17" t="s">
        <v>175</v>
      </c>
      <c r="B169" s="17">
        <v>68</v>
      </c>
      <c r="C169" s="17">
        <v>1063</v>
      </c>
      <c r="D169" s="17">
        <v>460</v>
      </c>
      <c r="E169" s="17">
        <v>2372</v>
      </c>
      <c r="F169" s="17">
        <v>2</v>
      </c>
    </row>
    <row r="170" spans="1:6" ht="18" x14ac:dyDescent="0.35">
      <c r="A170" s="17" t="s">
        <v>176</v>
      </c>
      <c r="B170" s="17">
        <v>124</v>
      </c>
      <c r="C170" s="17">
        <v>924</v>
      </c>
      <c r="D170" s="17">
        <v>1769</v>
      </c>
      <c r="E170" s="17">
        <v>557</v>
      </c>
      <c r="F170" s="17">
        <v>4</v>
      </c>
    </row>
    <row r="171" spans="1:6" ht="18" x14ac:dyDescent="0.35">
      <c r="A171" s="17" t="s">
        <v>177</v>
      </c>
      <c r="B171" s="17">
        <v>63</v>
      </c>
      <c r="C171" s="17">
        <v>225</v>
      </c>
      <c r="D171" s="17">
        <v>160</v>
      </c>
      <c r="E171" s="17">
        <v>225</v>
      </c>
      <c r="F171" s="17">
        <v>0</v>
      </c>
    </row>
    <row r="172" spans="1:6" ht="18" x14ac:dyDescent="0.35">
      <c r="A172" s="17" t="s">
        <v>178</v>
      </c>
      <c r="B172" s="17">
        <v>37</v>
      </c>
      <c r="C172" s="17">
        <v>98</v>
      </c>
      <c r="D172" s="17">
        <v>83</v>
      </c>
      <c r="E172" s="17">
        <v>28</v>
      </c>
      <c r="F172" s="17">
        <v>3</v>
      </c>
    </row>
    <row r="173" spans="1:6" ht="18" x14ac:dyDescent="0.35">
      <c r="A173" s="17" t="s">
        <v>179</v>
      </c>
      <c r="B173" s="17">
        <v>182</v>
      </c>
      <c r="C173" s="17">
        <v>233</v>
      </c>
      <c r="D173" s="17">
        <v>1888</v>
      </c>
      <c r="E173" s="17">
        <v>1205</v>
      </c>
      <c r="F173" s="17">
        <v>3</v>
      </c>
    </row>
    <row r="174" spans="1:6" ht="18" x14ac:dyDescent="0.35">
      <c r="A174" s="17" t="s">
        <v>180</v>
      </c>
      <c r="B174" s="17">
        <v>131</v>
      </c>
      <c r="C174" s="17">
        <v>511</v>
      </c>
      <c r="D174" s="17">
        <v>1184</v>
      </c>
      <c r="E174" s="17">
        <v>1259</v>
      </c>
      <c r="F174" s="17">
        <v>6</v>
      </c>
    </row>
    <row r="175" spans="1:6" ht="18" x14ac:dyDescent="0.35">
      <c r="A175" s="17" t="s">
        <v>181</v>
      </c>
      <c r="B175" s="17">
        <v>247</v>
      </c>
      <c r="C175" s="17">
        <v>758</v>
      </c>
      <c r="D175" s="17">
        <v>1524</v>
      </c>
      <c r="E175" s="17">
        <v>1887</v>
      </c>
      <c r="F175" s="17">
        <v>0</v>
      </c>
    </row>
    <row r="176" spans="1:6" ht="18" x14ac:dyDescent="0.35">
      <c r="A176" s="17" t="s">
        <v>182</v>
      </c>
      <c r="B176" s="17">
        <v>176</v>
      </c>
      <c r="C176" s="17">
        <v>454</v>
      </c>
      <c r="D176" s="17">
        <v>347</v>
      </c>
      <c r="E176" s="17">
        <v>1451</v>
      </c>
      <c r="F176" s="17">
        <v>6</v>
      </c>
    </row>
    <row r="177" spans="1:6" ht="18" x14ac:dyDescent="0.35">
      <c r="A177" s="17" t="s">
        <v>183</v>
      </c>
      <c r="B177" s="17">
        <v>82</v>
      </c>
      <c r="C177" s="17">
        <v>602</v>
      </c>
      <c r="D177" s="17">
        <v>1516</v>
      </c>
      <c r="E177" s="17">
        <v>1961</v>
      </c>
      <c r="F177" s="17">
        <v>1</v>
      </c>
    </row>
    <row r="178" spans="1:6" ht="18" x14ac:dyDescent="0.35">
      <c r="A178" s="17" t="s">
        <v>184</v>
      </c>
      <c r="B178" s="17">
        <v>67</v>
      </c>
      <c r="C178" s="17">
        <v>130</v>
      </c>
      <c r="D178" s="17">
        <v>316</v>
      </c>
      <c r="E178" s="17">
        <v>152</v>
      </c>
      <c r="F178" s="17">
        <v>1</v>
      </c>
    </row>
    <row r="179" spans="1:6" ht="18" x14ac:dyDescent="0.35">
      <c r="A179" s="17" t="s">
        <v>185</v>
      </c>
      <c r="B179" s="17">
        <v>18</v>
      </c>
      <c r="C179" s="17">
        <v>89</v>
      </c>
      <c r="D179" s="17">
        <v>22</v>
      </c>
      <c r="E179" s="17">
        <v>97</v>
      </c>
      <c r="F179" s="17">
        <v>3</v>
      </c>
    </row>
    <row r="180" spans="1:6" ht="18" x14ac:dyDescent="0.35">
      <c r="A180" s="17" t="s">
        <v>186</v>
      </c>
      <c r="B180" s="17">
        <v>37</v>
      </c>
      <c r="C180" s="17">
        <v>245</v>
      </c>
      <c r="D180" s="17">
        <v>90</v>
      </c>
      <c r="E180" s="17">
        <v>312</v>
      </c>
      <c r="F180" s="17">
        <v>1</v>
      </c>
    </row>
    <row r="181" spans="1:6" ht="18" x14ac:dyDescent="0.35">
      <c r="A181" s="17" t="s">
        <v>187</v>
      </c>
      <c r="B181" s="17">
        <v>46</v>
      </c>
      <c r="C181" s="17">
        <v>198</v>
      </c>
      <c r="D181" s="17">
        <v>102</v>
      </c>
      <c r="E181" s="17">
        <v>487</v>
      </c>
      <c r="F181" s="17">
        <v>1</v>
      </c>
    </row>
    <row r="182" spans="1:6" ht="18" x14ac:dyDescent="0.35">
      <c r="A182" s="17" t="s">
        <v>188</v>
      </c>
      <c r="B182" s="17">
        <v>8</v>
      </c>
      <c r="C182" s="17">
        <v>75</v>
      </c>
      <c r="D182" s="17">
        <v>89</v>
      </c>
      <c r="E182" s="17">
        <v>55</v>
      </c>
      <c r="F182" s="17">
        <v>0</v>
      </c>
    </row>
    <row r="183" spans="1:6" ht="18" x14ac:dyDescent="0.35">
      <c r="A183" s="17" t="s">
        <v>189</v>
      </c>
      <c r="B183" s="17">
        <v>144</v>
      </c>
      <c r="C183" s="17">
        <v>246</v>
      </c>
      <c r="D183" s="17">
        <v>1277</v>
      </c>
      <c r="E183" s="17">
        <v>3303</v>
      </c>
      <c r="F183" s="17">
        <v>1</v>
      </c>
    </row>
    <row r="184" spans="1:6" ht="18" x14ac:dyDescent="0.35">
      <c r="A184" s="17" t="s">
        <v>190</v>
      </c>
      <c r="B184" s="17">
        <v>22</v>
      </c>
      <c r="C184" s="17">
        <v>109</v>
      </c>
      <c r="D184" s="17">
        <v>84</v>
      </c>
      <c r="E184" s="17">
        <v>94</v>
      </c>
      <c r="F184" s="17">
        <v>5</v>
      </c>
    </row>
    <row r="185" spans="1:6" ht="18" x14ac:dyDescent="0.35">
      <c r="A185" s="17" t="s">
        <v>191</v>
      </c>
      <c r="B185" s="17">
        <v>221</v>
      </c>
      <c r="C185" s="17">
        <v>231</v>
      </c>
      <c r="D185" s="17">
        <v>1163</v>
      </c>
      <c r="E185" s="17">
        <v>3460</v>
      </c>
      <c r="F185" s="17">
        <v>1</v>
      </c>
    </row>
    <row r="186" spans="1:6" ht="18" x14ac:dyDescent="0.35">
      <c r="A186" s="17" t="s">
        <v>192</v>
      </c>
      <c r="B186" s="17">
        <v>58</v>
      </c>
      <c r="C186" s="17">
        <v>226</v>
      </c>
      <c r="D186" s="17">
        <v>1552</v>
      </c>
      <c r="E186" s="17">
        <v>715</v>
      </c>
      <c r="F186" s="17">
        <v>1</v>
      </c>
    </row>
    <row r="187" spans="1:6" ht="18" x14ac:dyDescent="0.35">
      <c r="A187" s="17" t="s">
        <v>193</v>
      </c>
      <c r="B187" s="17">
        <v>31</v>
      </c>
      <c r="C187" s="17">
        <v>81</v>
      </c>
      <c r="D187" s="17">
        <v>96</v>
      </c>
      <c r="E187" s="17">
        <v>41</v>
      </c>
      <c r="F187" s="17">
        <v>4</v>
      </c>
    </row>
    <row r="188" spans="1:6" ht="18" x14ac:dyDescent="0.35">
      <c r="A188" s="17" t="s">
        <v>194</v>
      </c>
      <c r="B188" s="17">
        <v>16</v>
      </c>
      <c r="C188" s="17">
        <v>96</v>
      </c>
      <c r="D188" s="17">
        <v>59</v>
      </c>
      <c r="E188" s="17">
        <v>36</v>
      </c>
      <c r="F188" s="17">
        <v>3</v>
      </c>
    </row>
    <row r="189" spans="1:6" ht="18" x14ac:dyDescent="0.35">
      <c r="A189" s="17" t="s">
        <v>195</v>
      </c>
      <c r="B189" s="17">
        <v>32</v>
      </c>
      <c r="C189" s="17">
        <v>54</v>
      </c>
      <c r="D189" s="17">
        <v>41</v>
      </c>
      <c r="E189" s="17">
        <v>84</v>
      </c>
      <c r="F189" s="17">
        <v>5</v>
      </c>
    </row>
    <row r="190" spans="1:6" ht="18" x14ac:dyDescent="0.35">
      <c r="A190" s="17" t="s">
        <v>196</v>
      </c>
      <c r="B190" s="17">
        <v>69</v>
      </c>
      <c r="C190" s="17">
        <v>175</v>
      </c>
      <c r="D190" s="17">
        <v>386</v>
      </c>
      <c r="E190" s="17">
        <v>278</v>
      </c>
      <c r="F190" s="17">
        <v>4</v>
      </c>
    </row>
    <row r="191" spans="1:6" ht="18" x14ac:dyDescent="0.35">
      <c r="A191" s="17" t="s">
        <v>197</v>
      </c>
      <c r="B191" s="17">
        <v>15</v>
      </c>
      <c r="C191" s="17">
        <v>30</v>
      </c>
      <c r="D191" s="17">
        <v>82</v>
      </c>
      <c r="E191" s="17">
        <v>27</v>
      </c>
      <c r="F191" s="17">
        <v>3</v>
      </c>
    </row>
    <row r="192" spans="1:6" ht="18" x14ac:dyDescent="0.35">
      <c r="A192" s="17" t="s">
        <v>198</v>
      </c>
      <c r="B192" s="17">
        <v>28</v>
      </c>
      <c r="C192" s="17">
        <v>105</v>
      </c>
      <c r="D192" s="17">
        <v>300</v>
      </c>
      <c r="E192" s="17">
        <v>460</v>
      </c>
      <c r="F192" s="17">
        <v>2</v>
      </c>
    </row>
    <row r="193" spans="1:6" ht="18" x14ac:dyDescent="0.35">
      <c r="A193" s="17" t="s">
        <v>199</v>
      </c>
      <c r="B193" s="17">
        <v>74</v>
      </c>
      <c r="C193" s="17">
        <v>146</v>
      </c>
      <c r="D193" s="17">
        <v>133</v>
      </c>
      <c r="E193" s="17">
        <v>511</v>
      </c>
      <c r="F193" s="17">
        <v>0</v>
      </c>
    </row>
    <row r="194" spans="1:6" ht="18" x14ac:dyDescent="0.35">
      <c r="A194" s="17" t="s">
        <v>200</v>
      </c>
      <c r="B194" s="17">
        <v>24</v>
      </c>
      <c r="C194" s="17">
        <v>88</v>
      </c>
      <c r="D194" s="17">
        <v>90</v>
      </c>
      <c r="E194" s="17">
        <v>76</v>
      </c>
      <c r="F194" s="17">
        <v>3</v>
      </c>
    </row>
    <row r="195" spans="1:6" ht="18" x14ac:dyDescent="0.35">
      <c r="A195" s="17" t="s">
        <v>201</v>
      </c>
      <c r="B195" s="17">
        <v>22</v>
      </c>
      <c r="C195" s="17">
        <v>168</v>
      </c>
      <c r="D195" s="17">
        <v>217</v>
      </c>
      <c r="E195" s="17">
        <v>406</v>
      </c>
      <c r="F195" s="17">
        <v>4</v>
      </c>
    </row>
    <row r="196" spans="1:6" ht="18" x14ac:dyDescent="0.35">
      <c r="A196" s="17" t="s">
        <v>202</v>
      </c>
      <c r="B196" s="17">
        <v>8</v>
      </c>
      <c r="C196" s="17">
        <v>34</v>
      </c>
      <c r="D196" s="17">
        <v>53</v>
      </c>
      <c r="E196" s="17">
        <v>91</v>
      </c>
      <c r="F196" s="17">
        <v>1</v>
      </c>
    </row>
    <row r="197" spans="1:6" ht="18" x14ac:dyDescent="0.35">
      <c r="A197" s="17" t="s">
        <v>203</v>
      </c>
      <c r="B197" s="17">
        <v>222</v>
      </c>
      <c r="C197" s="17">
        <v>1150</v>
      </c>
      <c r="D197" s="17">
        <v>1150</v>
      </c>
      <c r="E197" s="17">
        <v>3079</v>
      </c>
      <c r="F197" s="17">
        <v>2</v>
      </c>
    </row>
    <row r="198" spans="1:6" ht="18" x14ac:dyDescent="0.35">
      <c r="A198" s="17" t="s">
        <v>204</v>
      </c>
      <c r="B198" s="17">
        <v>82</v>
      </c>
      <c r="C198" s="17">
        <v>394</v>
      </c>
      <c r="D198" s="17">
        <v>593</v>
      </c>
      <c r="E198" s="17">
        <v>1291</v>
      </c>
      <c r="F198" s="17">
        <v>6</v>
      </c>
    </row>
    <row r="199" spans="1:6" ht="18" x14ac:dyDescent="0.35">
      <c r="A199" s="17" t="s">
        <v>205</v>
      </c>
      <c r="B199" s="17">
        <v>22</v>
      </c>
      <c r="C199" s="17">
        <v>52</v>
      </c>
      <c r="D199" s="17">
        <v>64</v>
      </c>
      <c r="E199" s="17">
        <v>77</v>
      </c>
      <c r="F199" s="17">
        <v>4</v>
      </c>
    </row>
    <row r="200" spans="1:6" ht="18" x14ac:dyDescent="0.35">
      <c r="A200" s="17" t="s">
        <v>206</v>
      </c>
      <c r="B200" s="17">
        <v>20</v>
      </c>
      <c r="C200" s="17">
        <v>73</v>
      </c>
      <c r="D200" s="17">
        <v>40</v>
      </c>
      <c r="E200" s="17">
        <v>40</v>
      </c>
      <c r="F200" s="17">
        <v>3</v>
      </c>
    </row>
    <row r="201" spans="1:6" ht="18" x14ac:dyDescent="0.35">
      <c r="A201" s="17" t="s">
        <v>207</v>
      </c>
      <c r="B201" s="17">
        <v>202</v>
      </c>
      <c r="C201" s="17">
        <v>1100</v>
      </c>
      <c r="D201" s="17">
        <v>434</v>
      </c>
      <c r="E201" s="17">
        <v>887</v>
      </c>
      <c r="F201" s="17">
        <v>2</v>
      </c>
    </row>
    <row r="202" spans="1:6" ht="18" x14ac:dyDescent="0.35">
      <c r="A202" s="17" t="s">
        <v>208</v>
      </c>
      <c r="B202" s="17">
        <v>94</v>
      </c>
      <c r="C202" s="17">
        <v>968</v>
      </c>
      <c r="D202" s="17">
        <v>1588</v>
      </c>
      <c r="E202" s="17">
        <v>3104</v>
      </c>
      <c r="F202" s="17">
        <v>2</v>
      </c>
    </row>
    <row r="203" spans="1:6" ht="18" x14ac:dyDescent="0.35">
      <c r="A203" s="17" t="s">
        <v>209</v>
      </c>
      <c r="B203" s="17">
        <v>38</v>
      </c>
      <c r="C203" s="17">
        <v>57</v>
      </c>
      <c r="D203" s="17">
        <v>335</v>
      </c>
      <c r="E203" s="17">
        <v>301</v>
      </c>
      <c r="F203" s="17">
        <v>1</v>
      </c>
    </row>
    <row r="204" spans="1:6" ht="18" x14ac:dyDescent="0.35">
      <c r="A204" s="17" t="s">
        <v>210</v>
      </c>
      <c r="B204" s="17">
        <v>125</v>
      </c>
      <c r="C204" s="17">
        <v>892</v>
      </c>
      <c r="D204" s="17">
        <v>1293</v>
      </c>
      <c r="E204" s="17">
        <v>1610</v>
      </c>
      <c r="F204" s="17">
        <v>3</v>
      </c>
    </row>
    <row r="205" spans="1:6" ht="18" x14ac:dyDescent="0.35">
      <c r="A205" s="17" t="s">
        <v>211</v>
      </c>
      <c r="B205" s="17">
        <v>26</v>
      </c>
      <c r="C205" s="17">
        <v>38</v>
      </c>
      <c r="D205" s="17">
        <v>55</v>
      </c>
      <c r="E205" s="17">
        <v>49</v>
      </c>
      <c r="F205" s="17">
        <v>5</v>
      </c>
    </row>
    <row r="206" spans="1:6" ht="18" x14ac:dyDescent="0.35">
      <c r="A206" s="17" t="s">
        <v>212</v>
      </c>
      <c r="B206" s="17">
        <v>27</v>
      </c>
      <c r="C206" s="17">
        <v>58</v>
      </c>
      <c r="D206" s="17">
        <v>78</v>
      </c>
      <c r="E206" s="17">
        <v>87</v>
      </c>
      <c r="F206" s="17">
        <v>3</v>
      </c>
    </row>
    <row r="207" spans="1:6" ht="18" x14ac:dyDescent="0.35">
      <c r="A207" s="17" t="s">
        <v>213</v>
      </c>
      <c r="B207" s="17">
        <v>51</v>
      </c>
      <c r="C207" s="17">
        <v>79</v>
      </c>
      <c r="D207" s="17">
        <v>174</v>
      </c>
      <c r="E207" s="17">
        <v>230</v>
      </c>
      <c r="F207" s="17">
        <v>0</v>
      </c>
    </row>
    <row r="208" spans="1:6" ht="18" x14ac:dyDescent="0.35">
      <c r="A208" s="17" t="s">
        <v>214</v>
      </c>
      <c r="B208" s="17">
        <v>142</v>
      </c>
      <c r="C208" s="17">
        <v>466</v>
      </c>
      <c r="D208" s="17">
        <v>1352</v>
      </c>
      <c r="E208" s="17">
        <v>1133</v>
      </c>
      <c r="F208" s="17">
        <v>3</v>
      </c>
    </row>
    <row r="209" spans="1:6" ht="18" x14ac:dyDescent="0.35">
      <c r="A209" s="17" t="s">
        <v>215</v>
      </c>
      <c r="B209" s="17">
        <v>64</v>
      </c>
      <c r="C209" s="17">
        <v>188</v>
      </c>
      <c r="D209" s="17">
        <v>286</v>
      </c>
      <c r="E209" s="17">
        <v>515</v>
      </c>
      <c r="F209" s="17">
        <v>2</v>
      </c>
    </row>
    <row r="210" spans="1:6" ht="18" x14ac:dyDescent="0.35">
      <c r="A210" s="17" t="s">
        <v>216</v>
      </c>
      <c r="B210" s="17">
        <v>18</v>
      </c>
      <c r="C210" s="17">
        <v>45</v>
      </c>
      <c r="D210" s="17">
        <v>72</v>
      </c>
      <c r="E210" s="17">
        <v>64</v>
      </c>
      <c r="F210" s="17">
        <v>0</v>
      </c>
    </row>
    <row r="211" spans="1:6" ht="18" x14ac:dyDescent="0.35">
      <c r="A211" s="17" t="s">
        <v>217</v>
      </c>
      <c r="B211" s="17">
        <v>30</v>
      </c>
      <c r="C211" s="17">
        <v>91</v>
      </c>
      <c r="D211" s="17">
        <v>59</v>
      </c>
      <c r="E211" s="17">
        <v>52</v>
      </c>
      <c r="F211" s="17">
        <v>3</v>
      </c>
    </row>
    <row r="212" spans="1:6" ht="18" x14ac:dyDescent="0.35">
      <c r="A212" s="17" t="s">
        <v>218</v>
      </c>
      <c r="B212" s="17">
        <v>29</v>
      </c>
      <c r="C212" s="17">
        <v>87</v>
      </c>
      <c r="D212" s="17">
        <v>39</v>
      </c>
      <c r="E212" s="17">
        <v>73</v>
      </c>
      <c r="F212" s="17">
        <v>3</v>
      </c>
    </row>
    <row r="213" spans="1:6" ht="18" x14ac:dyDescent="0.35">
      <c r="A213" s="17" t="s">
        <v>219</v>
      </c>
      <c r="B213" s="17">
        <v>216</v>
      </c>
      <c r="C213" s="17">
        <v>956</v>
      </c>
      <c r="D213" s="17">
        <v>1296</v>
      </c>
      <c r="E213" s="17">
        <v>2918</v>
      </c>
      <c r="F213" s="17">
        <v>3</v>
      </c>
    </row>
    <row r="214" spans="1:6" ht="18" x14ac:dyDescent="0.35">
      <c r="A214" s="17" t="s">
        <v>220</v>
      </c>
      <c r="B214" s="17">
        <v>9</v>
      </c>
      <c r="C214" s="17">
        <v>116</v>
      </c>
      <c r="D214" s="17">
        <v>26</v>
      </c>
      <c r="E214" s="17">
        <v>40</v>
      </c>
      <c r="F214" s="17">
        <v>5</v>
      </c>
    </row>
    <row r="215" spans="1:6" ht="18" x14ac:dyDescent="0.35">
      <c r="A215" s="17" t="s">
        <v>221</v>
      </c>
      <c r="B215" s="17">
        <v>235</v>
      </c>
      <c r="C215" s="17">
        <v>271</v>
      </c>
      <c r="D215" s="17">
        <v>1902</v>
      </c>
      <c r="E215" s="17">
        <v>1856</v>
      </c>
      <c r="F215" s="17">
        <v>0</v>
      </c>
    </row>
    <row r="216" spans="1:6" ht="18" x14ac:dyDescent="0.35">
      <c r="A216" s="17" t="s">
        <v>222</v>
      </c>
      <c r="B216" s="17">
        <v>36</v>
      </c>
      <c r="C216" s="17">
        <v>292</v>
      </c>
      <c r="D216" s="17">
        <v>114</v>
      </c>
      <c r="E216" s="17">
        <v>322</v>
      </c>
      <c r="F216" s="17">
        <v>0</v>
      </c>
    </row>
    <row r="217" spans="1:6" ht="18" x14ac:dyDescent="0.35">
      <c r="A217" s="17" t="s">
        <v>223</v>
      </c>
      <c r="B217" s="17">
        <v>38</v>
      </c>
      <c r="C217" s="17">
        <v>51</v>
      </c>
      <c r="D217" s="17">
        <v>33</v>
      </c>
      <c r="E217" s="17">
        <v>74</v>
      </c>
      <c r="F217" s="17">
        <v>3</v>
      </c>
    </row>
    <row r="218" spans="1:6" ht="18" x14ac:dyDescent="0.35">
      <c r="A218" s="17" t="s">
        <v>224</v>
      </c>
      <c r="B218" s="17">
        <v>47</v>
      </c>
      <c r="C218" s="17">
        <v>480</v>
      </c>
      <c r="D218" s="17">
        <v>1158</v>
      </c>
      <c r="E218" s="17">
        <v>2331</v>
      </c>
      <c r="F218" s="17">
        <v>5</v>
      </c>
    </row>
    <row r="219" spans="1:6" ht="18" x14ac:dyDescent="0.35">
      <c r="A219" s="17" t="s">
        <v>225</v>
      </c>
      <c r="B219" s="17">
        <v>84</v>
      </c>
      <c r="C219" s="17">
        <v>230</v>
      </c>
      <c r="D219" s="17">
        <v>1129</v>
      </c>
      <c r="E219" s="17">
        <v>2741</v>
      </c>
      <c r="F219" s="17">
        <v>4</v>
      </c>
    </row>
    <row r="220" spans="1:6" ht="18" x14ac:dyDescent="0.35">
      <c r="A220" s="17" t="s">
        <v>226</v>
      </c>
      <c r="B220" s="17">
        <v>71</v>
      </c>
      <c r="C220" s="17">
        <v>1001</v>
      </c>
      <c r="D220" s="17">
        <v>1953</v>
      </c>
      <c r="E220" s="17">
        <v>1889</v>
      </c>
      <c r="F220" s="17">
        <v>3</v>
      </c>
    </row>
    <row r="221" spans="1:6" ht="18" x14ac:dyDescent="0.35">
      <c r="A221" s="17" t="s">
        <v>227</v>
      </c>
      <c r="B221" s="17">
        <v>38</v>
      </c>
      <c r="C221" s="17">
        <v>107</v>
      </c>
      <c r="D221" s="17">
        <v>37</v>
      </c>
      <c r="E221" s="17">
        <v>69</v>
      </c>
      <c r="F221" s="17">
        <v>0</v>
      </c>
    </row>
    <row r="222" spans="1:6" ht="18" x14ac:dyDescent="0.35">
      <c r="A222" s="17" t="s">
        <v>228</v>
      </c>
      <c r="B222" s="17">
        <v>17</v>
      </c>
      <c r="C222" s="17">
        <v>227</v>
      </c>
      <c r="D222" s="17">
        <v>220</v>
      </c>
      <c r="E222" s="17">
        <v>372</v>
      </c>
      <c r="F222" s="17">
        <v>0</v>
      </c>
    </row>
    <row r="223" spans="1:6" ht="18" x14ac:dyDescent="0.35">
      <c r="A223" s="17" t="s">
        <v>229</v>
      </c>
      <c r="B223" s="17">
        <v>25</v>
      </c>
      <c r="C223" s="17">
        <v>107</v>
      </c>
      <c r="D223" s="17">
        <v>27</v>
      </c>
      <c r="E223" s="17">
        <v>78</v>
      </c>
      <c r="F223" s="17">
        <v>4</v>
      </c>
    </row>
    <row r="224" spans="1:6" ht="18" x14ac:dyDescent="0.35">
      <c r="A224" s="17" t="s">
        <v>230</v>
      </c>
      <c r="B224" s="17">
        <v>19</v>
      </c>
      <c r="C224" s="17">
        <v>85</v>
      </c>
      <c r="D224" s="17">
        <v>99</v>
      </c>
      <c r="E224" s="17">
        <v>64</v>
      </c>
      <c r="F224" s="17">
        <v>2</v>
      </c>
    </row>
    <row r="225" spans="1:6" ht="18" x14ac:dyDescent="0.35">
      <c r="A225" s="17" t="s">
        <v>231</v>
      </c>
      <c r="B225" s="17">
        <v>67</v>
      </c>
      <c r="C225" s="17">
        <v>244</v>
      </c>
      <c r="D225" s="17">
        <v>150</v>
      </c>
      <c r="E225" s="17">
        <v>369</v>
      </c>
      <c r="F225" s="17">
        <v>4</v>
      </c>
    </row>
    <row r="226" spans="1:6" ht="18" x14ac:dyDescent="0.35">
      <c r="A226" s="17" t="s">
        <v>232</v>
      </c>
      <c r="B226" s="17">
        <v>156</v>
      </c>
      <c r="C226" s="17">
        <v>701</v>
      </c>
      <c r="D226" s="17">
        <v>1069</v>
      </c>
      <c r="E226" s="17">
        <v>2012</v>
      </c>
      <c r="F226" s="17">
        <v>4</v>
      </c>
    </row>
    <row r="227" spans="1:6" ht="18" x14ac:dyDescent="0.35">
      <c r="A227" s="17" t="s">
        <v>233</v>
      </c>
      <c r="B227" s="17">
        <v>245</v>
      </c>
      <c r="C227" s="17">
        <v>1038</v>
      </c>
      <c r="D227" s="17">
        <v>728</v>
      </c>
      <c r="E227" s="17">
        <v>1704</v>
      </c>
      <c r="F227" s="17">
        <v>6</v>
      </c>
    </row>
    <row r="228" spans="1:6" ht="18" x14ac:dyDescent="0.35">
      <c r="A228" s="17" t="s">
        <v>234</v>
      </c>
      <c r="B228" s="17">
        <v>21</v>
      </c>
      <c r="C228" s="17">
        <v>101</v>
      </c>
      <c r="D228" s="17">
        <v>77</v>
      </c>
      <c r="E228" s="17">
        <v>21</v>
      </c>
      <c r="F228" s="17">
        <v>4</v>
      </c>
    </row>
    <row r="229" spans="1:6" ht="18" x14ac:dyDescent="0.35">
      <c r="A229" s="17" t="s">
        <v>235</v>
      </c>
      <c r="B229" s="17">
        <v>18</v>
      </c>
      <c r="C229" s="17">
        <v>102</v>
      </c>
      <c r="D229" s="17">
        <v>76</v>
      </c>
      <c r="E229" s="17">
        <v>24</v>
      </c>
      <c r="F229" s="17">
        <v>4</v>
      </c>
    </row>
    <row r="230" spans="1:6" ht="18" x14ac:dyDescent="0.35">
      <c r="A230" s="17" t="s">
        <v>236</v>
      </c>
      <c r="B230" s="17">
        <v>55</v>
      </c>
      <c r="C230" s="17">
        <v>61</v>
      </c>
      <c r="D230" s="17">
        <v>295</v>
      </c>
      <c r="E230" s="17">
        <v>203</v>
      </c>
      <c r="F230" s="17">
        <v>0</v>
      </c>
    </row>
    <row r="231" spans="1:6" ht="18" x14ac:dyDescent="0.35">
      <c r="A231" s="17" t="s">
        <v>237</v>
      </c>
      <c r="B231" s="17">
        <v>32</v>
      </c>
      <c r="C231" s="17">
        <v>59</v>
      </c>
      <c r="D231" s="17">
        <v>36</v>
      </c>
      <c r="E231" s="17">
        <v>21</v>
      </c>
      <c r="F231" s="17">
        <v>5</v>
      </c>
    </row>
    <row r="232" spans="1:6" ht="18" x14ac:dyDescent="0.35">
      <c r="A232" s="17" t="s">
        <v>238</v>
      </c>
      <c r="B232" s="17">
        <v>10</v>
      </c>
      <c r="C232" s="17">
        <v>23</v>
      </c>
      <c r="D232" s="17">
        <v>96</v>
      </c>
      <c r="E232" s="17">
        <v>97</v>
      </c>
      <c r="F232" s="17">
        <v>3</v>
      </c>
    </row>
    <row r="233" spans="1:6" ht="18" x14ac:dyDescent="0.35">
      <c r="A233" s="17" t="s">
        <v>239</v>
      </c>
      <c r="B233" s="17">
        <v>15</v>
      </c>
      <c r="C233" s="17">
        <v>104</v>
      </c>
      <c r="D233" s="17">
        <v>76</v>
      </c>
      <c r="E233" s="17">
        <v>77</v>
      </c>
      <c r="F233" s="17">
        <v>4</v>
      </c>
    </row>
    <row r="234" spans="1:6" ht="18" x14ac:dyDescent="0.35">
      <c r="A234" s="17" t="s">
        <v>240</v>
      </c>
      <c r="B234" s="17">
        <v>146</v>
      </c>
      <c r="C234" s="17">
        <v>988</v>
      </c>
      <c r="D234" s="17">
        <v>869</v>
      </c>
      <c r="E234" s="17">
        <v>2594</v>
      </c>
      <c r="F234" s="17">
        <v>6</v>
      </c>
    </row>
    <row r="235" spans="1:6" ht="18" x14ac:dyDescent="0.35">
      <c r="A235" s="17" t="s">
        <v>241</v>
      </c>
      <c r="B235" s="17">
        <v>18</v>
      </c>
      <c r="C235" s="17">
        <v>112</v>
      </c>
      <c r="D235" s="17">
        <v>37</v>
      </c>
      <c r="E235" s="17">
        <v>67</v>
      </c>
      <c r="F235" s="17">
        <v>2</v>
      </c>
    </row>
    <row r="236" spans="1:6" ht="18" x14ac:dyDescent="0.35">
      <c r="A236" s="17" t="s">
        <v>242</v>
      </c>
      <c r="B236" s="17">
        <v>52</v>
      </c>
      <c r="C236" s="17">
        <v>198</v>
      </c>
      <c r="D236" s="17">
        <v>105</v>
      </c>
      <c r="E236" s="17">
        <v>415</v>
      </c>
      <c r="F236" s="17">
        <v>0</v>
      </c>
    </row>
    <row r="237" spans="1:6" ht="18" x14ac:dyDescent="0.35">
      <c r="A237" s="17" t="s">
        <v>243</v>
      </c>
      <c r="B237" s="17">
        <v>143</v>
      </c>
      <c r="C237" s="17">
        <v>1149</v>
      </c>
      <c r="D237" s="17">
        <v>1467</v>
      </c>
      <c r="E237" s="17">
        <v>1364</v>
      </c>
      <c r="F237" s="17">
        <v>1</v>
      </c>
    </row>
    <row r="238" spans="1:6" ht="18" x14ac:dyDescent="0.35">
      <c r="A238" s="17" t="s">
        <v>244</v>
      </c>
      <c r="B238" s="17">
        <v>22</v>
      </c>
      <c r="C238" s="17">
        <v>103</v>
      </c>
      <c r="D238" s="17">
        <v>84</v>
      </c>
      <c r="E238" s="17">
        <v>56</v>
      </c>
      <c r="F238" s="17">
        <v>2</v>
      </c>
    </row>
    <row r="239" spans="1:6" ht="18" x14ac:dyDescent="0.35">
      <c r="A239" s="17" t="s">
        <v>245</v>
      </c>
      <c r="B239" s="17">
        <v>24</v>
      </c>
      <c r="C239" s="17">
        <v>51</v>
      </c>
      <c r="D239" s="17">
        <v>22</v>
      </c>
      <c r="E239" s="17">
        <v>22</v>
      </c>
      <c r="F239" s="17">
        <v>1</v>
      </c>
    </row>
    <row r="240" spans="1:6" ht="18" x14ac:dyDescent="0.35">
      <c r="A240" s="17" t="s">
        <v>246</v>
      </c>
      <c r="B240" s="17">
        <v>15</v>
      </c>
      <c r="C240" s="17">
        <v>96</v>
      </c>
      <c r="D240" s="17">
        <v>67</v>
      </c>
      <c r="E240" s="17">
        <v>33</v>
      </c>
      <c r="F240" s="17">
        <v>4</v>
      </c>
    </row>
    <row r="241" spans="1:6" ht="18" x14ac:dyDescent="0.35">
      <c r="A241" s="17" t="s">
        <v>247</v>
      </c>
      <c r="B241" s="17">
        <v>36</v>
      </c>
      <c r="C241" s="17">
        <v>116</v>
      </c>
      <c r="D241" s="17">
        <v>49</v>
      </c>
      <c r="E241" s="17">
        <v>55</v>
      </c>
      <c r="F241" s="17">
        <v>0</v>
      </c>
    </row>
    <row r="242" spans="1:6" ht="18" x14ac:dyDescent="0.35">
      <c r="A242" s="17" t="s">
        <v>248</v>
      </c>
      <c r="B242" s="17">
        <v>15</v>
      </c>
      <c r="C242" s="17">
        <v>76</v>
      </c>
      <c r="D242" s="17">
        <v>52</v>
      </c>
      <c r="E242" s="17">
        <v>31</v>
      </c>
      <c r="F242" s="17">
        <v>3</v>
      </c>
    </row>
    <row r="243" spans="1:6" ht="18" x14ac:dyDescent="0.35">
      <c r="A243" s="17" t="s">
        <v>249</v>
      </c>
      <c r="B243" s="17">
        <v>25</v>
      </c>
      <c r="C243" s="17">
        <v>294</v>
      </c>
      <c r="D243" s="17">
        <v>170</v>
      </c>
      <c r="E243" s="17">
        <v>578</v>
      </c>
      <c r="F243" s="17">
        <v>2</v>
      </c>
    </row>
    <row r="244" spans="1:6" ht="18" x14ac:dyDescent="0.35">
      <c r="A244" s="17" t="s">
        <v>250</v>
      </c>
      <c r="B244" s="17">
        <v>63</v>
      </c>
      <c r="C244" s="17">
        <v>56</v>
      </c>
      <c r="D244" s="17">
        <v>388</v>
      </c>
      <c r="E244" s="17">
        <v>495</v>
      </c>
      <c r="F244" s="17">
        <v>2</v>
      </c>
    </row>
    <row r="245" spans="1:6" ht="18" x14ac:dyDescent="0.35">
      <c r="A245" s="17" t="s">
        <v>251</v>
      </c>
      <c r="B245" s="17">
        <v>78</v>
      </c>
      <c r="C245" s="17">
        <v>258</v>
      </c>
      <c r="D245" s="17">
        <v>204</v>
      </c>
      <c r="E245" s="17">
        <v>182</v>
      </c>
      <c r="F245" s="17">
        <v>2</v>
      </c>
    </row>
    <row r="246" spans="1:6" ht="18" x14ac:dyDescent="0.35">
      <c r="A246" s="17" t="s">
        <v>252</v>
      </c>
      <c r="B246" s="17">
        <v>204</v>
      </c>
      <c r="C246" s="17">
        <v>1163</v>
      </c>
      <c r="D246" s="17">
        <v>889</v>
      </c>
      <c r="E246" s="17">
        <v>3083</v>
      </c>
      <c r="F246" s="17">
        <v>5</v>
      </c>
    </row>
    <row r="247" spans="1:6" ht="18" x14ac:dyDescent="0.35">
      <c r="A247" s="17" t="s">
        <v>253</v>
      </c>
      <c r="B247" s="17">
        <v>37</v>
      </c>
      <c r="C247" s="17">
        <v>78</v>
      </c>
      <c r="D247" s="17">
        <v>24</v>
      </c>
      <c r="E247" s="17">
        <v>37</v>
      </c>
      <c r="F247" s="17">
        <v>3</v>
      </c>
    </row>
    <row r="248" spans="1:6" ht="18" x14ac:dyDescent="0.35">
      <c r="A248" s="17" t="s">
        <v>254</v>
      </c>
      <c r="B248" s="17">
        <v>137</v>
      </c>
      <c r="C248" s="17">
        <v>1104</v>
      </c>
      <c r="D248" s="17">
        <v>1789</v>
      </c>
      <c r="E248" s="17">
        <v>851</v>
      </c>
      <c r="F248" s="17">
        <v>0</v>
      </c>
    </row>
    <row r="249" spans="1:6" ht="18" x14ac:dyDescent="0.35">
      <c r="A249" s="17" t="s">
        <v>255</v>
      </c>
      <c r="B249" s="17">
        <v>10</v>
      </c>
      <c r="C249" s="17">
        <v>38</v>
      </c>
      <c r="D249" s="17">
        <v>100</v>
      </c>
      <c r="E249" s="17">
        <v>51</v>
      </c>
      <c r="F249" s="17">
        <v>4</v>
      </c>
    </row>
    <row r="250" spans="1:6" ht="18" x14ac:dyDescent="0.35">
      <c r="A250" s="17" t="s">
        <v>256</v>
      </c>
      <c r="B250" s="17">
        <v>25</v>
      </c>
      <c r="C250" s="17">
        <v>111</v>
      </c>
      <c r="D250" s="17">
        <v>33</v>
      </c>
      <c r="E250" s="17">
        <v>62</v>
      </c>
      <c r="F250" s="17">
        <v>3</v>
      </c>
    </row>
    <row r="251" spans="1:6" ht="18" x14ac:dyDescent="0.35">
      <c r="A251" s="17" t="s">
        <v>257</v>
      </c>
      <c r="B251" s="17">
        <v>208</v>
      </c>
      <c r="C251" s="17">
        <v>462</v>
      </c>
      <c r="D251" s="17">
        <v>324</v>
      </c>
      <c r="E251" s="17">
        <v>637</v>
      </c>
      <c r="F251" s="17">
        <v>6</v>
      </c>
    </row>
  </sheetData>
  <autoFilter ref="A1:F1" xr:uid="{490B8E7D-C75F-4D7F-A4D1-776B725B0F0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5BB73-B939-4CFF-AE2F-5DFF3AA2C2B6}">
  <sheetPr codeName="Sheet3"/>
  <dimension ref="A1:B20"/>
  <sheetViews>
    <sheetView showGridLines="0" workbookViewId="0">
      <pane xSplit="13" ySplit="10" topLeftCell="N11" activePane="bottomRight" state="frozen"/>
      <selection pane="topRight" activeCell="N1" sqref="N1"/>
      <selection pane="bottomLeft" activeCell="A11" sqref="A11"/>
      <selection pane="bottomRight" activeCell="N11" sqref="N11"/>
    </sheetView>
  </sheetViews>
  <sheetFormatPr defaultRowHeight="14.4" x14ac:dyDescent="0.3"/>
  <cols>
    <col min="1" max="1" width="34.44140625" customWidth="1"/>
    <col min="2" max="2" width="16.44140625" bestFit="1" customWidth="1"/>
  </cols>
  <sheetData>
    <row r="1" spans="1:2" x14ac:dyDescent="0.3">
      <c r="A1" s="65" t="s">
        <v>530</v>
      </c>
      <c r="B1" s="66"/>
    </row>
    <row r="2" spans="1:2" ht="15" thickBot="1" x14ac:dyDescent="0.35">
      <c r="A2" s="67"/>
      <c r="B2" s="68"/>
    </row>
    <row r="3" spans="1:2" ht="18" x14ac:dyDescent="0.3">
      <c r="A3" s="25" t="s">
        <v>524</v>
      </c>
      <c r="B3" s="25" t="s">
        <v>525</v>
      </c>
    </row>
    <row r="4" spans="1:2" ht="28.8" customHeight="1" x14ac:dyDescent="0.3">
      <c r="A4" s="10" t="s">
        <v>526</v>
      </c>
      <c r="B4" s="11">
        <v>700</v>
      </c>
    </row>
    <row r="5" spans="1:2" ht="31.2" customHeight="1" x14ac:dyDescent="0.3">
      <c r="A5" s="10" t="s">
        <v>527</v>
      </c>
      <c r="B5" s="11">
        <v>1600</v>
      </c>
    </row>
    <row r="6" spans="1:2" ht="31.8" customHeight="1" x14ac:dyDescent="0.3">
      <c r="A6" s="10" t="s">
        <v>528</v>
      </c>
      <c r="B6" s="11">
        <v>250</v>
      </c>
    </row>
    <row r="7" spans="1:2" ht="39" customHeight="1" x14ac:dyDescent="0.3">
      <c r="A7" s="10" t="s">
        <v>529</v>
      </c>
      <c r="B7" s="11">
        <v>180</v>
      </c>
    </row>
    <row r="9" spans="1:2" ht="15" thickBot="1" x14ac:dyDescent="0.35"/>
    <row r="10" spans="1:2" x14ac:dyDescent="0.3">
      <c r="A10" s="69" t="s">
        <v>532</v>
      </c>
      <c r="B10" s="70"/>
    </row>
    <row r="11" spans="1:2" ht="15" thickBot="1" x14ac:dyDescent="0.35">
      <c r="A11" s="71"/>
      <c r="B11" s="72"/>
    </row>
    <row r="12" spans="1:2" ht="18" x14ac:dyDescent="0.3">
      <c r="A12" s="5" t="s">
        <v>524</v>
      </c>
      <c r="B12" s="6" t="s">
        <v>525</v>
      </c>
    </row>
    <row r="13" spans="1:2" ht="18" x14ac:dyDescent="0.3">
      <c r="A13" s="10" t="s">
        <v>531</v>
      </c>
      <c r="B13" s="12">
        <v>80000000</v>
      </c>
    </row>
    <row r="15" spans="1:2" ht="15" thickBot="1" x14ac:dyDescent="0.35"/>
    <row r="16" spans="1:2" ht="24" thickBot="1" x14ac:dyDescent="0.35">
      <c r="A16" s="73" t="s">
        <v>535</v>
      </c>
      <c r="B16" s="74"/>
    </row>
    <row r="17" spans="1:2" ht="18" x14ac:dyDescent="0.3">
      <c r="A17" s="8" t="s">
        <v>536</v>
      </c>
      <c r="B17" s="9" t="s">
        <v>537</v>
      </c>
    </row>
    <row r="18" spans="1:2" ht="34.799999999999997" customHeight="1" x14ac:dyDescent="0.3">
      <c r="A18" s="13" t="s">
        <v>538</v>
      </c>
      <c r="B18" s="14">
        <v>0.4</v>
      </c>
    </row>
    <row r="19" spans="1:2" ht="42" x14ac:dyDescent="0.3">
      <c r="A19" s="13" t="s">
        <v>539</v>
      </c>
      <c r="B19" s="14">
        <v>0.3</v>
      </c>
    </row>
    <row r="20" spans="1:2" ht="42" x14ac:dyDescent="0.3">
      <c r="A20" s="13" t="s">
        <v>540</v>
      </c>
      <c r="B20" s="14">
        <v>0.3</v>
      </c>
    </row>
  </sheetData>
  <mergeCells count="3">
    <mergeCell ref="A1:B2"/>
    <mergeCell ref="A10:B11"/>
    <mergeCell ref="A16:B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A287-515B-4B98-8FE6-CDF41F3342B1}">
  <dimension ref="A1:Y251"/>
  <sheetViews>
    <sheetView showGridLines="0" topLeftCell="B1" zoomScale="85" zoomScaleNormal="85" workbookViewId="0">
      <pane xSplit="8" ySplit="12" topLeftCell="M20" activePane="bottomRight" state="frozen"/>
      <selection activeCell="B1" sqref="B1"/>
      <selection pane="topRight" activeCell="J1" sqref="J1"/>
      <selection pane="bottomLeft" activeCell="B13" sqref="B13"/>
      <selection pane="bottomRight" activeCell="AB3" sqref="AB3"/>
    </sheetView>
  </sheetViews>
  <sheetFormatPr defaultRowHeight="14.4" outlineLevelCol="1" x14ac:dyDescent="0.3"/>
  <cols>
    <col min="1" max="1" width="12" customWidth="1"/>
    <col min="2" max="2" width="18" bestFit="1" customWidth="1"/>
    <col min="3" max="3" width="22.5546875" customWidth="1"/>
    <col min="4" max="4" width="10.5546875" bestFit="1" customWidth="1"/>
    <col min="5" max="5" width="15.33203125" bestFit="1" customWidth="1"/>
    <col min="6" max="6" width="11.109375" customWidth="1"/>
    <col min="7" max="7" width="10.88671875" customWidth="1"/>
    <col min="8" max="8" width="11.88671875" bestFit="1" customWidth="1"/>
    <col min="9" max="9" width="15.21875" customWidth="1"/>
    <col min="10" max="10" width="14.44140625" customWidth="1"/>
    <col min="11" max="11" width="12" customWidth="1"/>
    <col min="12" max="13" width="19" customWidth="1" outlineLevel="1"/>
    <col min="14" max="16" width="14.5546875" customWidth="1" outlineLevel="1"/>
    <col min="17" max="17" width="13.77734375" customWidth="1" outlineLevel="1"/>
    <col min="18" max="18" width="12.44140625" style="4" customWidth="1"/>
    <col min="19" max="19" width="14.6640625" customWidth="1"/>
    <col min="20" max="20" width="16.5546875" customWidth="1"/>
    <col min="21" max="21" width="15.6640625" bestFit="1" customWidth="1"/>
    <col min="28" max="28" width="11.88671875" bestFit="1" customWidth="1"/>
    <col min="32" max="32" width="16.88671875" bestFit="1" customWidth="1"/>
  </cols>
  <sheetData>
    <row r="1" spans="1:25" s="3" customFormat="1" ht="43.2" customHeight="1" thickBot="1" x14ac:dyDescent="0.35">
      <c r="A1" s="29" t="s">
        <v>0</v>
      </c>
      <c r="B1" s="29" t="s">
        <v>2</v>
      </c>
      <c r="C1" s="29" t="s">
        <v>272</v>
      </c>
      <c r="D1" s="29" t="s">
        <v>533</v>
      </c>
      <c r="E1" s="29" t="s">
        <v>541</v>
      </c>
      <c r="F1" s="29" t="s">
        <v>542</v>
      </c>
      <c r="G1" s="29" t="s">
        <v>543</v>
      </c>
      <c r="H1" s="29" t="s">
        <v>544</v>
      </c>
      <c r="I1" s="29" t="s">
        <v>545</v>
      </c>
      <c r="J1" s="29" t="s">
        <v>546</v>
      </c>
      <c r="K1" s="29" t="s">
        <v>547</v>
      </c>
      <c r="L1" s="30" t="s">
        <v>551</v>
      </c>
      <c r="M1" s="29" t="s">
        <v>552</v>
      </c>
      <c r="N1" s="29" t="s">
        <v>553</v>
      </c>
      <c r="O1" s="31" t="s">
        <v>556</v>
      </c>
      <c r="P1" s="29" t="s">
        <v>554</v>
      </c>
      <c r="Q1" s="29" t="s">
        <v>555</v>
      </c>
      <c r="R1" s="29" t="s">
        <v>548</v>
      </c>
      <c r="S1" s="29" t="s">
        <v>549</v>
      </c>
      <c r="T1" s="32" t="s">
        <v>550</v>
      </c>
      <c r="U1" s="80" t="s">
        <v>557</v>
      </c>
      <c r="V1" s="81"/>
      <c r="W1" s="81"/>
      <c r="X1" s="81"/>
      <c r="Y1" s="82"/>
    </row>
    <row r="2" spans="1:25" ht="15" thickBot="1" x14ac:dyDescent="0.35">
      <c r="A2" s="7" t="s">
        <v>8</v>
      </c>
      <c r="B2" s="7" t="s">
        <v>258</v>
      </c>
      <c r="C2" s="19">
        <v>212136</v>
      </c>
      <c r="D2" s="15">
        <v>0.02</v>
      </c>
      <c r="E2" s="18">
        <f>C2*(1-D2)</f>
        <v>207893.28</v>
      </c>
      <c r="F2" s="19">
        <f>Cost_Drivers!B2*Finance_Assumptions!$B$4</f>
        <v>18900</v>
      </c>
      <c r="G2" s="19">
        <f>Cost_Drivers!C2*Finance_Assumptions!$B$5</f>
        <v>144000</v>
      </c>
      <c r="H2" s="19">
        <f>Cost_Drivers!D2*Finance_Assumptions!$B$6</f>
        <v>23750</v>
      </c>
      <c r="I2" s="19">
        <f>Cost_Drivers!E2*Finance_Assumptions!$B$7</f>
        <v>15480</v>
      </c>
      <c r="J2" s="19">
        <f>F2+G2+H2+I2</f>
        <v>202130</v>
      </c>
      <c r="K2" s="19">
        <f t="shared" ref="K2:K65" si="0">M2+Q2</f>
        <v>43097.288195595393</v>
      </c>
      <c r="L2" s="24">
        <f t="shared" ref="L2:L65" si="1">E2/$W$2</f>
        <v>3.2159963483574788E-4</v>
      </c>
      <c r="M2" s="20">
        <f>L2*40000000</f>
        <v>12863.985393429915</v>
      </c>
      <c r="N2" s="26">
        <f>Cost_Drivers!B2+Cost_Drivers!C2+Cost_Drivers!E2</f>
        <v>203</v>
      </c>
      <c r="O2" s="27">
        <f>SUM(N2:N251)</f>
        <v>268578</v>
      </c>
      <c r="P2" s="24">
        <f t="shared" ref="P2:P65" si="2">N2/$O$2</f>
        <v>7.5583257005413693E-4</v>
      </c>
      <c r="Q2" s="20">
        <f>P2*40000000</f>
        <v>30233.302802165479</v>
      </c>
      <c r="R2" s="19">
        <f t="shared" ref="R2:R65" si="3">E2-J2-K2</f>
        <v>-37334.008195595394</v>
      </c>
      <c r="S2" s="22">
        <f t="shared" ref="S2:S65" si="4">R2/E2</f>
        <v>-0.17958256368650008</v>
      </c>
      <c r="T2" s="23">
        <f t="shared" ref="T2:T65" si="5">J2/E2</f>
        <v>0.97227769940423281</v>
      </c>
      <c r="U2" s="83" t="s">
        <v>559</v>
      </c>
      <c r="V2" s="83"/>
      <c r="W2" s="84">
        <f>SUM(E2:E251)</f>
        <v>646435062.36000025</v>
      </c>
      <c r="X2" s="84"/>
      <c r="Y2" s="84"/>
    </row>
    <row r="3" spans="1:25" x14ac:dyDescent="0.3">
      <c r="A3" s="7" t="s">
        <v>9</v>
      </c>
      <c r="B3" s="7" t="s">
        <v>260</v>
      </c>
      <c r="C3" s="19">
        <v>9965479</v>
      </c>
      <c r="D3" s="15">
        <v>0.33</v>
      </c>
      <c r="E3" s="18">
        <f t="shared" ref="E3:E66" si="6">C3*(1-D3)</f>
        <v>6676870.9299999997</v>
      </c>
      <c r="F3" s="19">
        <f>Cost_Drivers!B3*Finance_Assumptions!$B$4</f>
        <v>71400</v>
      </c>
      <c r="G3" s="19">
        <f>Cost_Drivers!C3*Finance_Assumptions!$B$5</f>
        <v>641600</v>
      </c>
      <c r="H3" s="19">
        <f>Cost_Drivers!D3*Finance_Assumptions!$B$6</f>
        <v>326750</v>
      </c>
      <c r="I3" s="19">
        <f>Cost_Drivers!E3*Finance_Assumptions!$B$7</f>
        <v>252900</v>
      </c>
      <c r="J3" s="19">
        <f t="shared" ref="J3:J66" si="7">F3+G3+H3+I3</f>
        <v>1292650</v>
      </c>
      <c r="K3" s="19">
        <f t="shared" si="0"/>
        <v>697313.55558945728</v>
      </c>
      <c r="L3" s="24">
        <f t="shared" si="1"/>
        <v>1.032875739385814E-2</v>
      </c>
      <c r="M3" s="20">
        <f t="shared" ref="M3:M66" si="8">L3*40000000</f>
        <v>413150.29575432558</v>
      </c>
      <c r="N3" s="7">
        <f>Cost_Drivers!B3+Cost_Drivers!C3+Cost_Drivers!E3</f>
        <v>1908</v>
      </c>
      <c r="P3" s="7">
        <f t="shared" si="2"/>
        <v>7.1040814958782924E-3</v>
      </c>
      <c r="Q3" s="20">
        <f t="shared" ref="Q3:Q66" si="9">P3*40000000</f>
        <v>284163.2598351317</v>
      </c>
      <c r="R3" s="19">
        <f t="shared" si="3"/>
        <v>4686907.3744105427</v>
      </c>
      <c r="S3" s="22">
        <f t="shared" si="4"/>
        <v>0.70196165592353943</v>
      </c>
      <c r="T3" s="23">
        <f t="shared" si="5"/>
        <v>0.1936011664074507</v>
      </c>
      <c r="U3" s="85" t="s">
        <v>560</v>
      </c>
      <c r="V3" s="85"/>
      <c r="W3" s="86">
        <f>SUM(J2:J251)</f>
        <v>194458970</v>
      </c>
      <c r="X3" s="85"/>
      <c r="Y3" s="85"/>
    </row>
    <row r="4" spans="1:25" x14ac:dyDescent="0.3">
      <c r="A4" s="7" t="s">
        <v>10</v>
      </c>
      <c r="B4" s="7" t="s">
        <v>258</v>
      </c>
      <c r="C4" s="19">
        <v>581169</v>
      </c>
      <c r="D4" s="15">
        <v>0.04</v>
      </c>
      <c r="E4" s="18">
        <f t="shared" si="6"/>
        <v>557922.24</v>
      </c>
      <c r="F4" s="19">
        <f>Cost_Drivers!B4*Finance_Assumptions!$B$4</f>
        <v>23100</v>
      </c>
      <c r="G4" s="19">
        <f>Cost_Drivers!C4*Finance_Assumptions!$B$5</f>
        <v>70400</v>
      </c>
      <c r="H4" s="19">
        <f>Cost_Drivers!D4*Finance_Assumptions!$B$6</f>
        <v>7500</v>
      </c>
      <c r="I4" s="19">
        <f>Cost_Drivers!E4*Finance_Assumptions!$B$7</f>
        <v>11520</v>
      </c>
      <c r="J4" s="19">
        <f t="shared" si="7"/>
        <v>112520</v>
      </c>
      <c r="K4" s="19">
        <f t="shared" si="0"/>
        <v>55522.504656636956</v>
      </c>
      <c r="L4" s="24">
        <f t="shared" si="1"/>
        <v>8.6307546184630159E-4</v>
      </c>
      <c r="M4" s="20">
        <f t="shared" si="8"/>
        <v>34523.018473852062</v>
      </c>
      <c r="N4" s="7">
        <f>Cost_Drivers!B4+Cost_Drivers!C4+Cost_Drivers!E4</f>
        <v>141</v>
      </c>
      <c r="P4" s="7">
        <f t="shared" si="2"/>
        <v>5.2498715456962227E-4</v>
      </c>
      <c r="Q4" s="20">
        <f t="shared" si="9"/>
        <v>20999.486182784891</v>
      </c>
      <c r="R4" s="19">
        <f t="shared" si="3"/>
        <v>389879.73534336302</v>
      </c>
      <c r="S4" s="22">
        <f t="shared" si="4"/>
        <v>0.69880658520327676</v>
      </c>
      <c r="T4" s="23">
        <f t="shared" si="5"/>
        <v>0.20167685016463943</v>
      </c>
      <c r="U4" s="85" t="s">
        <v>558</v>
      </c>
      <c r="V4" s="85"/>
      <c r="W4" s="86">
        <f>SUM(K2:K251)</f>
        <v>79999999.999999985</v>
      </c>
      <c r="X4" s="85"/>
      <c r="Y4" s="85"/>
    </row>
    <row r="5" spans="1:25" x14ac:dyDescent="0.3">
      <c r="A5" s="7" t="s">
        <v>11</v>
      </c>
      <c r="B5" s="7" t="s">
        <v>259</v>
      </c>
      <c r="C5" s="19">
        <v>1146325</v>
      </c>
      <c r="D5" s="15">
        <v>0.2</v>
      </c>
      <c r="E5" s="18">
        <f t="shared" si="6"/>
        <v>917060</v>
      </c>
      <c r="F5" s="19">
        <f>Cost_Drivers!B5*Finance_Assumptions!$B$4</f>
        <v>35000</v>
      </c>
      <c r="G5" s="19">
        <f>Cost_Drivers!C5*Finance_Assumptions!$B$5</f>
        <v>176000</v>
      </c>
      <c r="H5" s="19">
        <f>Cost_Drivers!D5*Finance_Assumptions!$B$6</f>
        <v>36500</v>
      </c>
      <c r="I5" s="19">
        <f>Cost_Drivers!E5*Finance_Assumptions!$B$7</f>
        <v>55980</v>
      </c>
      <c r="J5" s="19">
        <f t="shared" si="7"/>
        <v>303480</v>
      </c>
      <c r="K5" s="19">
        <f t="shared" si="0"/>
        <v>126892.90414982074</v>
      </c>
      <c r="L5" s="24">
        <f t="shared" si="1"/>
        <v>1.4186421086938017E-3</v>
      </c>
      <c r="M5" s="20">
        <f t="shared" si="8"/>
        <v>56745.684347752067</v>
      </c>
      <c r="N5" s="7">
        <f>Cost_Drivers!B5+Cost_Drivers!C5+Cost_Drivers!E5</f>
        <v>471</v>
      </c>
      <c r="P5" s="7">
        <f t="shared" si="2"/>
        <v>1.7536804950517167E-3</v>
      </c>
      <c r="Q5" s="20">
        <f t="shared" si="9"/>
        <v>70147.219802068663</v>
      </c>
      <c r="R5" s="19">
        <f t="shared" si="3"/>
        <v>486687.09585017926</v>
      </c>
      <c r="S5" s="22">
        <f t="shared" si="4"/>
        <v>0.53070365717638901</v>
      </c>
      <c r="T5" s="23">
        <f t="shared" si="5"/>
        <v>0.33092709310186902</v>
      </c>
      <c r="U5" s="75" t="s">
        <v>561</v>
      </c>
      <c r="V5" s="75"/>
      <c r="W5" s="76">
        <f>W2-W3-W4</f>
        <v>371976092.36000025</v>
      </c>
      <c r="X5" s="77"/>
      <c r="Y5" s="77"/>
    </row>
    <row r="6" spans="1:25" x14ac:dyDescent="0.3">
      <c r="A6" s="7" t="s">
        <v>12</v>
      </c>
      <c r="B6" s="7" t="s">
        <v>260</v>
      </c>
      <c r="C6" s="19">
        <v>6065902</v>
      </c>
      <c r="D6" s="15">
        <v>0.27</v>
      </c>
      <c r="E6" s="18">
        <f t="shared" si="6"/>
        <v>4428108.46</v>
      </c>
      <c r="F6" s="19">
        <f>Cost_Drivers!B6*Finance_Assumptions!$B$4</f>
        <v>44800</v>
      </c>
      <c r="G6" s="19">
        <f>Cost_Drivers!C6*Finance_Assumptions!$B$5</f>
        <v>1910400</v>
      </c>
      <c r="H6" s="19">
        <f>Cost_Drivers!D6*Finance_Assumptions!$B$6</f>
        <v>198000</v>
      </c>
      <c r="I6" s="19">
        <f>Cost_Drivers!E6*Finance_Assumptions!$B$7</f>
        <v>527580</v>
      </c>
      <c r="J6" s="19">
        <f t="shared" si="7"/>
        <v>2680780</v>
      </c>
      <c r="K6" s="19">
        <f t="shared" si="0"/>
        <v>897880.1019931084</v>
      </c>
      <c r="L6" s="24">
        <f t="shared" si="1"/>
        <v>6.8500437520110603E-3</v>
      </c>
      <c r="M6" s="20">
        <f t="shared" si="8"/>
        <v>274001.75008044241</v>
      </c>
      <c r="N6" s="7">
        <f>Cost_Drivers!B6+Cost_Drivers!C6+Cost_Drivers!E6</f>
        <v>4189</v>
      </c>
      <c r="P6" s="7">
        <f t="shared" si="2"/>
        <v>1.5596958797816649E-2</v>
      </c>
      <c r="Q6" s="20">
        <f t="shared" si="9"/>
        <v>623878.351912666</v>
      </c>
      <c r="R6" s="19">
        <f t="shared" si="3"/>
        <v>849448.35800689156</v>
      </c>
      <c r="S6" s="22">
        <f t="shared" si="4"/>
        <v>0.19183097380746894</v>
      </c>
      <c r="T6" s="21">
        <f t="shared" si="5"/>
        <v>0.6054007087260912</v>
      </c>
      <c r="U6" s="78"/>
      <c r="V6" s="79"/>
    </row>
    <row r="7" spans="1:25" x14ac:dyDescent="0.3">
      <c r="A7" s="7" t="s">
        <v>13</v>
      </c>
      <c r="B7" s="7" t="s">
        <v>258</v>
      </c>
      <c r="C7" s="19">
        <v>507912</v>
      </c>
      <c r="D7" s="15">
        <v>0.09</v>
      </c>
      <c r="E7" s="18">
        <f t="shared" si="6"/>
        <v>462199.92000000004</v>
      </c>
      <c r="F7" s="19">
        <f>Cost_Drivers!B7*Finance_Assumptions!$B$4</f>
        <v>18200</v>
      </c>
      <c r="G7" s="19">
        <f>Cost_Drivers!C7*Finance_Assumptions!$B$5</f>
        <v>94400</v>
      </c>
      <c r="H7" s="19">
        <f>Cost_Drivers!D7*Finance_Assumptions!$B$6</f>
        <v>16000</v>
      </c>
      <c r="I7" s="19">
        <f>Cost_Drivers!E7*Finance_Assumptions!$B$7</f>
        <v>11340</v>
      </c>
      <c r="J7" s="19">
        <f t="shared" si="7"/>
        <v>139940</v>
      </c>
      <c r="K7" s="19">
        <f t="shared" si="0"/>
        <v>50641.942731642499</v>
      </c>
      <c r="L7" s="24">
        <f t="shared" si="1"/>
        <v>7.1499822165060792E-4</v>
      </c>
      <c r="M7" s="20">
        <f t="shared" si="8"/>
        <v>28599.928866024318</v>
      </c>
      <c r="N7" s="7">
        <f>Cost_Drivers!B7+Cost_Drivers!C7+Cost_Drivers!E7</f>
        <v>148</v>
      </c>
      <c r="P7" s="7">
        <f t="shared" si="2"/>
        <v>5.5105034664045449E-4</v>
      </c>
      <c r="Q7" s="20">
        <f t="shared" si="9"/>
        <v>22042.013865618181</v>
      </c>
      <c r="R7" s="19">
        <f t="shared" si="3"/>
        <v>271617.97726835753</v>
      </c>
      <c r="S7" s="22">
        <f t="shared" si="4"/>
        <v>0.5876634017339456</v>
      </c>
      <c r="T7" s="21">
        <f t="shared" si="5"/>
        <v>0.30276941631664495</v>
      </c>
    </row>
    <row r="8" spans="1:25" x14ac:dyDescent="0.3">
      <c r="A8" s="7" t="s">
        <v>14</v>
      </c>
      <c r="B8" s="7" t="s">
        <v>260</v>
      </c>
      <c r="C8" s="19">
        <v>4094765</v>
      </c>
      <c r="D8" s="15">
        <v>0.25</v>
      </c>
      <c r="E8" s="18">
        <f t="shared" si="6"/>
        <v>3071073.75</v>
      </c>
      <c r="F8" s="19">
        <f>Cost_Drivers!B8*Finance_Assumptions!$B$4</f>
        <v>107800</v>
      </c>
      <c r="G8" s="19">
        <f>Cost_Drivers!C8*Finance_Assumptions!$B$5</f>
        <v>1670400</v>
      </c>
      <c r="H8" s="19">
        <f>Cost_Drivers!D8*Finance_Assumptions!$B$6</f>
        <v>465250</v>
      </c>
      <c r="I8" s="19">
        <f>Cost_Drivers!E8*Finance_Assumptions!$B$7</f>
        <v>165060</v>
      </c>
      <c r="J8" s="19">
        <f t="shared" si="7"/>
        <v>2408510</v>
      </c>
      <c r="K8" s="19">
        <f t="shared" si="0"/>
        <v>505023.67741253343</v>
      </c>
      <c r="L8" s="24">
        <f t="shared" si="1"/>
        <v>4.7507846167690023E-3</v>
      </c>
      <c r="M8" s="20">
        <f t="shared" si="8"/>
        <v>190031.3846707601</v>
      </c>
      <c r="N8" s="7">
        <f>Cost_Drivers!B8+Cost_Drivers!C8+Cost_Drivers!E8</f>
        <v>2115</v>
      </c>
      <c r="P8" s="7">
        <f t="shared" si="2"/>
        <v>7.8748073185443343E-3</v>
      </c>
      <c r="Q8" s="20">
        <f t="shared" si="9"/>
        <v>314992.29274177336</v>
      </c>
      <c r="R8" s="19">
        <f t="shared" si="3"/>
        <v>157540.07258746657</v>
      </c>
      <c r="S8" s="22">
        <f t="shared" si="4"/>
        <v>5.1298042773302521E-2</v>
      </c>
      <c r="T8" s="21">
        <f t="shared" si="5"/>
        <v>0.7842566463928129</v>
      </c>
    </row>
    <row r="9" spans="1:25" x14ac:dyDescent="0.3">
      <c r="A9" s="7" t="s">
        <v>15</v>
      </c>
      <c r="B9" s="7" t="s">
        <v>258</v>
      </c>
      <c r="C9" s="19">
        <v>179887</v>
      </c>
      <c r="D9" s="15">
        <v>0.09</v>
      </c>
      <c r="E9" s="18">
        <f t="shared" si="6"/>
        <v>163697.17000000001</v>
      </c>
      <c r="F9" s="19">
        <f>Cost_Drivers!B9*Finance_Assumptions!$B$4</f>
        <v>11200</v>
      </c>
      <c r="G9" s="19">
        <f>Cost_Drivers!C9*Finance_Assumptions!$B$5</f>
        <v>182400</v>
      </c>
      <c r="H9" s="19">
        <f>Cost_Drivers!D9*Finance_Assumptions!$B$6</f>
        <v>8250</v>
      </c>
      <c r="I9" s="19">
        <f>Cost_Drivers!E9*Finance_Assumptions!$B$7</f>
        <v>7920</v>
      </c>
      <c r="J9" s="19">
        <f t="shared" si="7"/>
        <v>209770</v>
      </c>
      <c r="K9" s="19">
        <f t="shared" si="0"/>
        <v>36043.485481337164</v>
      </c>
      <c r="L9" s="24">
        <f t="shared" si="1"/>
        <v>2.5323064841559743E-4</v>
      </c>
      <c r="M9" s="20">
        <f t="shared" si="8"/>
        <v>10129.225936623898</v>
      </c>
      <c r="N9" s="7">
        <f>Cost_Drivers!B9+Cost_Drivers!C9+Cost_Drivers!E9</f>
        <v>174</v>
      </c>
      <c r="P9" s="7">
        <f t="shared" si="2"/>
        <v>6.4785648861783167E-4</v>
      </c>
      <c r="Q9" s="20">
        <f t="shared" si="9"/>
        <v>25914.259544713266</v>
      </c>
      <c r="R9" s="19">
        <f t="shared" si="3"/>
        <v>-82116.315481337151</v>
      </c>
      <c r="S9" s="22">
        <f t="shared" si="4"/>
        <v>-0.50163552296803382</v>
      </c>
      <c r="T9" s="21">
        <f t="shared" si="5"/>
        <v>1.2814515974833285</v>
      </c>
    </row>
    <row r="10" spans="1:25" x14ac:dyDescent="0.3">
      <c r="A10" s="7" t="s">
        <v>16</v>
      </c>
      <c r="B10" s="7" t="s">
        <v>260</v>
      </c>
      <c r="C10" s="19">
        <v>8768531</v>
      </c>
      <c r="D10" s="15">
        <v>0.21</v>
      </c>
      <c r="E10" s="18">
        <f t="shared" si="6"/>
        <v>6927139.4900000002</v>
      </c>
      <c r="F10" s="19">
        <f>Cost_Drivers!B10*Finance_Assumptions!$B$4</f>
        <v>91700</v>
      </c>
      <c r="G10" s="19">
        <f>Cost_Drivers!C10*Finance_Assumptions!$B$5</f>
        <v>400000</v>
      </c>
      <c r="H10" s="19">
        <f>Cost_Drivers!D10*Finance_Assumptions!$B$6</f>
        <v>290750</v>
      </c>
      <c r="I10" s="19">
        <f>Cost_Drivers!E10*Finance_Assumptions!$B$7</f>
        <v>410760</v>
      </c>
      <c r="J10" s="19">
        <f t="shared" si="7"/>
        <v>1193210</v>
      </c>
      <c r="K10" s="19">
        <f t="shared" si="0"/>
        <v>825243.68864725763</v>
      </c>
      <c r="L10" s="24">
        <f t="shared" si="1"/>
        <v>1.0715909289806235E-2</v>
      </c>
      <c r="M10" s="20">
        <f t="shared" si="8"/>
        <v>428636.37159224943</v>
      </c>
      <c r="N10" s="7">
        <f>Cost_Drivers!B10+Cost_Drivers!C10+Cost_Drivers!E10</f>
        <v>2663</v>
      </c>
      <c r="P10" s="7">
        <f t="shared" si="2"/>
        <v>9.9151829263752055E-3</v>
      </c>
      <c r="Q10" s="20">
        <f t="shared" si="9"/>
        <v>396607.3170550082</v>
      </c>
      <c r="R10" s="19">
        <f t="shared" si="3"/>
        <v>4908685.8013527431</v>
      </c>
      <c r="S10" s="22">
        <f t="shared" si="4"/>
        <v>0.70861656654076455</v>
      </c>
      <c r="T10" s="21">
        <f t="shared" si="5"/>
        <v>0.17225147576752492</v>
      </c>
    </row>
    <row r="11" spans="1:25" x14ac:dyDescent="0.3">
      <c r="A11" s="7" t="s">
        <v>17</v>
      </c>
      <c r="B11" s="7" t="s">
        <v>259</v>
      </c>
      <c r="C11" s="19">
        <v>1210843</v>
      </c>
      <c r="D11" s="15">
        <v>0.13</v>
      </c>
      <c r="E11" s="18">
        <f t="shared" si="6"/>
        <v>1053433.4099999999</v>
      </c>
      <c r="F11" s="19">
        <f>Cost_Drivers!B11*Finance_Assumptions!$B$4</f>
        <v>14000</v>
      </c>
      <c r="G11" s="19">
        <f>Cost_Drivers!C11*Finance_Assumptions!$B$5</f>
        <v>246400</v>
      </c>
      <c r="H11" s="19">
        <f>Cost_Drivers!D11*Finance_Assumptions!$B$6</f>
        <v>93750</v>
      </c>
      <c r="I11" s="19">
        <f>Cost_Drivers!E11*Finance_Assumptions!$B$7</f>
        <v>99540</v>
      </c>
      <c r="J11" s="19">
        <f t="shared" si="7"/>
        <v>453690</v>
      </c>
      <c r="K11" s="19">
        <f t="shared" si="0"/>
        <v>173458.12174996146</v>
      </c>
      <c r="L11" s="24">
        <f t="shared" si="1"/>
        <v>1.6296043815354525E-3</v>
      </c>
      <c r="M11" s="20">
        <f t="shared" si="8"/>
        <v>65184.175261418102</v>
      </c>
      <c r="N11" s="7">
        <f>Cost_Drivers!B11+Cost_Drivers!C11+Cost_Drivers!E11</f>
        <v>727</v>
      </c>
      <c r="P11" s="7">
        <f t="shared" si="2"/>
        <v>2.7068486622135843E-3</v>
      </c>
      <c r="Q11" s="20">
        <f t="shared" si="9"/>
        <v>108273.94648854337</v>
      </c>
      <c r="R11" s="19">
        <f t="shared" si="3"/>
        <v>426285.28825003846</v>
      </c>
      <c r="S11" s="22">
        <f t="shared" si="4"/>
        <v>0.40466277621671265</v>
      </c>
      <c r="T11" s="21">
        <f t="shared" si="5"/>
        <v>0.43067743598525132</v>
      </c>
    </row>
    <row r="12" spans="1:25" x14ac:dyDescent="0.3">
      <c r="A12" s="7" t="s">
        <v>18</v>
      </c>
      <c r="B12" s="7" t="s">
        <v>259</v>
      </c>
      <c r="C12" s="19">
        <v>1046258</v>
      </c>
      <c r="D12" s="15">
        <v>0.13</v>
      </c>
      <c r="E12" s="18">
        <f t="shared" si="6"/>
        <v>910244.46</v>
      </c>
      <c r="F12" s="19">
        <f>Cost_Drivers!B12*Finance_Assumptions!$B$4</f>
        <v>32200</v>
      </c>
      <c r="G12" s="19">
        <f>Cost_Drivers!C12*Finance_Assumptions!$B$5</f>
        <v>195200</v>
      </c>
      <c r="H12" s="19">
        <f>Cost_Drivers!D12*Finance_Assumptions!$B$6</f>
        <v>79000</v>
      </c>
      <c r="I12" s="19">
        <f>Cost_Drivers!E12*Finance_Assumptions!$B$7</f>
        <v>93600</v>
      </c>
      <c r="J12" s="19">
        <f t="shared" si="7"/>
        <v>400000</v>
      </c>
      <c r="K12" s="19">
        <f t="shared" si="0"/>
        <v>158789.53148052166</v>
      </c>
      <c r="L12" s="24">
        <f t="shared" si="1"/>
        <v>1.4080988377655234E-3</v>
      </c>
      <c r="M12" s="20">
        <f t="shared" si="8"/>
        <v>56323.953510620937</v>
      </c>
      <c r="N12" s="7">
        <f>Cost_Drivers!B12+Cost_Drivers!C12+Cost_Drivers!E12</f>
        <v>688</v>
      </c>
      <c r="P12" s="7">
        <f t="shared" si="2"/>
        <v>2.5616394492475182E-3</v>
      </c>
      <c r="Q12" s="20">
        <f t="shared" si="9"/>
        <v>102465.57796990073</v>
      </c>
      <c r="R12" s="19">
        <f t="shared" si="3"/>
        <v>351454.9285194783</v>
      </c>
      <c r="S12" s="22">
        <f t="shared" si="4"/>
        <v>0.38611048346229793</v>
      </c>
      <c r="T12" s="21">
        <f t="shared" si="5"/>
        <v>0.43944238891605009</v>
      </c>
    </row>
    <row r="13" spans="1:25" x14ac:dyDescent="0.3">
      <c r="A13" s="7" t="s">
        <v>19</v>
      </c>
      <c r="B13" s="7" t="s">
        <v>258</v>
      </c>
      <c r="C13" s="19">
        <v>190389</v>
      </c>
      <c r="D13" s="15">
        <v>0.05</v>
      </c>
      <c r="E13" s="18">
        <f t="shared" si="6"/>
        <v>180869.55</v>
      </c>
      <c r="F13" s="19">
        <f>Cost_Drivers!B13*Finance_Assumptions!$B$4</f>
        <v>15400</v>
      </c>
      <c r="G13" s="19">
        <f>Cost_Drivers!C13*Finance_Assumptions!$B$5</f>
        <v>108800</v>
      </c>
      <c r="H13" s="19">
        <f>Cost_Drivers!D13*Finance_Assumptions!$B$6</f>
        <v>23500</v>
      </c>
      <c r="I13" s="19">
        <f>Cost_Drivers!E13*Finance_Assumptions!$B$7</f>
        <v>5760</v>
      </c>
      <c r="J13" s="19">
        <f t="shared" si="7"/>
        <v>153460</v>
      </c>
      <c r="K13" s="19">
        <f t="shared" si="0"/>
        <v>29361.583762843031</v>
      </c>
      <c r="L13" s="24">
        <f t="shared" si="1"/>
        <v>2.7979538940799836E-4</v>
      </c>
      <c r="M13" s="20">
        <f t="shared" si="8"/>
        <v>11191.815576319934</v>
      </c>
      <c r="N13" s="7">
        <f>Cost_Drivers!B13+Cost_Drivers!C13+Cost_Drivers!E13</f>
        <v>122</v>
      </c>
      <c r="P13" s="7">
        <f t="shared" si="2"/>
        <v>4.5424420466307742E-4</v>
      </c>
      <c r="Q13" s="20">
        <f t="shared" si="9"/>
        <v>18169.768186523095</v>
      </c>
      <c r="R13" s="19">
        <f t="shared" si="3"/>
        <v>-1952.0337628430425</v>
      </c>
      <c r="S13" s="22">
        <f t="shared" si="4"/>
        <v>-1.0792495269895031E-2</v>
      </c>
      <c r="T13" s="21">
        <f t="shared" si="5"/>
        <v>0.84845680215381758</v>
      </c>
    </row>
    <row r="14" spans="1:25" x14ac:dyDescent="0.3">
      <c r="A14" s="7" t="s">
        <v>20</v>
      </c>
      <c r="B14" s="7" t="s">
        <v>258</v>
      </c>
      <c r="C14" s="19">
        <v>561163</v>
      </c>
      <c r="D14" s="15">
        <v>0.02</v>
      </c>
      <c r="E14" s="18">
        <f t="shared" si="6"/>
        <v>549939.74</v>
      </c>
      <c r="F14" s="19">
        <f>Cost_Drivers!B14*Finance_Assumptions!$B$4</f>
        <v>6300</v>
      </c>
      <c r="G14" s="19">
        <f>Cost_Drivers!C14*Finance_Assumptions!$B$5</f>
        <v>164800</v>
      </c>
      <c r="H14" s="19">
        <f>Cost_Drivers!D14*Finance_Assumptions!$B$6</f>
        <v>16500</v>
      </c>
      <c r="I14" s="19">
        <f>Cost_Drivers!E14*Finance_Assumptions!$B$7</f>
        <v>15120</v>
      </c>
      <c r="J14" s="19">
        <f t="shared" si="7"/>
        <v>202720</v>
      </c>
      <c r="K14" s="19">
        <f t="shared" si="0"/>
        <v>63219.853801561097</v>
      </c>
      <c r="L14" s="24">
        <f t="shared" si="1"/>
        <v>8.5072696705572272E-4</v>
      </c>
      <c r="M14" s="20">
        <f t="shared" si="8"/>
        <v>34029.078682228908</v>
      </c>
      <c r="N14" s="7">
        <f>Cost_Drivers!B14+Cost_Drivers!C14+Cost_Drivers!E14</f>
        <v>196</v>
      </c>
      <c r="P14" s="7">
        <f t="shared" si="2"/>
        <v>7.2976937798330472E-4</v>
      </c>
      <c r="Q14" s="20">
        <f t="shared" si="9"/>
        <v>29190.775119332189</v>
      </c>
      <c r="R14" s="19">
        <f t="shared" si="3"/>
        <v>283999.88619843888</v>
      </c>
      <c r="S14" s="22">
        <f t="shared" si="4"/>
        <v>0.5164200103059271</v>
      </c>
      <c r="T14" s="21">
        <f t="shared" si="5"/>
        <v>0.36862220577112687</v>
      </c>
    </row>
    <row r="15" spans="1:25" x14ac:dyDescent="0.3">
      <c r="A15" s="7" t="s">
        <v>21</v>
      </c>
      <c r="B15" s="7" t="s">
        <v>260</v>
      </c>
      <c r="C15" s="19">
        <v>3928757</v>
      </c>
      <c r="D15" s="15">
        <v>0.16</v>
      </c>
      <c r="E15" s="18">
        <f t="shared" si="6"/>
        <v>3300155.88</v>
      </c>
      <c r="F15" s="19">
        <f>Cost_Drivers!B15*Finance_Assumptions!$B$4</f>
        <v>41300</v>
      </c>
      <c r="G15" s="19">
        <f>Cost_Drivers!C15*Finance_Assumptions!$B$5</f>
        <v>651200</v>
      </c>
      <c r="H15" s="19">
        <f>Cost_Drivers!D15*Finance_Assumptions!$B$6</f>
        <v>494750</v>
      </c>
      <c r="I15" s="19">
        <f>Cost_Drivers!E15*Finance_Assumptions!$B$7</f>
        <v>122760</v>
      </c>
      <c r="J15" s="19">
        <f t="shared" si="7"/>
        <v>1310010</v>
      </c>
      <c r="K15" s="19">
        <f t="shared" si="0"/>
        <v>375181.0301432733</v>
      </c>
      <c r="L15" s="24">
        <f t="shared" si="1"/>
        <v>5.1051622539653339E-3</v>
      </c>
      <c r="M15" s="20">
        <f t="shared" si="8"/>
        <v>204206.49015861336</v>
      </c>
      <c r="N15" s="7">
        <f>Cost_Drivers!B15+Cost_Drivers!C15+Cost_Drivers!E15</f>
        <v>1148</v>
      </c>
      <c r="P15" s="7">
        <f t="shared" si="2"/>
        <v>4.274363499616499E-3</v>
      </c>
      <c r="Q15" s="20">
        <f t="shared" si="9"/>
        <v>170974.53998465996</v>
      </c>
      <c r="R15" s="19">
        <f t="shared" si="3"/>
        <v>1614964.8498567266</v>
      </c>
      <c r="S15" s="22">
        <f t="shared" si="4"/>
        <v>0.48936017224032663</v>
      </c>
      <c r="T15" s="21">
        <f t="shared" si="5"/>
        <v>0.39695397661034121</v>
      </c>
    </row>
    <row r="16" spans="1:25" x14ac:dyDescent="0.3">
      <c r="A16" s="7" t="s">
        <v>22</v>
      </c>
      <c r="B16" s="7" t="s">
        <v>259</v>
      </c>
      <c r="C16" s="19">
        <v>2038803</v>
      </c>
      <c r="D16" s="15">
        <v>7.0000000000000007E-2</v>
      </c>
      <c r="E16" s="18">
        <f t="shared" si="6"/>
        <v>1896086.7899999998</v>
      </c>
      <c r="F16" s="19">
        <f>Cost_Drivers!B16*Finance_Assumptions!$B$4</f>
        <v>49700</v>
      </c>
      <c r="G16" s="19">
        <f>Cost_Drivers!C16*Finance_Assumptions!$B$5</f>
        <v>259200</v>
      </c>
      <c r="H16" s="19">
        <f>Cost_Drivers!D16*Finance_Assumptions!$B$6</f>
        <v>93000</v>
      </c>
      <c r="I16" s="19">
        <f>Cost_Drivers!E16*Finance_Assumptions!$B$7</f>
        <v>67860</v>
      </c>
      <c r="J16" s="19">
        <f t="shared" si="7"/>
        <v>469760</v>
      </c>
      <c r="K16" s="19">
        <f t="shared" si="0"/>
        <v>208174.58023133362</v>
      </c>
      <c r="L16" s="24">
        <f t="shared" si="1"/>
        <v>2.9331434824679536E-3</v>
      </c>
      <c r="M16" s="20">
        <f t="shared" si="8"/>
        <v>117325.73929871815</v>
      </c>
      <c r="N16" s="7">
        <f>Cost_Drivers!B16+Cost_Drivers!C16+Cost_Drivers!E16</f>
        <v>610</v>
      </c>
      <c r="P16" s="7">
        <f t="shared" si="2"/>
        <v>2.2712210233153869E-3</v>
      </c>
      <c r="Q16" s="20">
        <f t="shared" si="9"/>
        <v>90848.84093261548</v>
      </c>
      <c r="R16" s="19">
        <f t="shared" si="3"/>
        <v>1218152.2097686662</v>
      </c>
      <c r="S16" s="22">
        <f t="shared" si="4"/>
        <v>0.64245593408130142</v>
      </c>
      <c r="T16" s="21">
        <f t="shared" si="5"/>
        <v>0.24775237213693158</v>
      </c>
    </row>
    <row r="17" spans="1:20" x14ac:dyDescent="0.3">
      <c r="A17" s="7" t="s">
        <v>23</v>
      </c>
      <c r="B17" s="7" t="s">
        <v>258</v>
      </c>
      <c r="C17" s="19">
        <v>169873</v>
      </c>
      <c r="D17" s="15">
        <v>0.09</v>
      </c>
      <c r="E17" s="18">
        <f t="shared" si="6"/>
        <v>154584.43</v>
      </c>
      <c r="F17" s="19">
        <f>Cost_Drivers!B17*Finance_Assumptions!$B$4</f>
        <v>4900</v>
      </c>
      <c r="G17" s="19">
        <f>Cost_Drivers!C17*Finance_Assumptions!$B$5</f>
        <v>64000</v>
      </c>
      <c r="H17" s="19">
        <f>Cost_Drivers!D17*Finance_Assumptions!$B$6</f>
        <v>23500</v>
      </c>
      <c r="I17" s="19">
        <f>Cost_Drivers!E17*Finance_Assumptions!$B$7</f>
        <v>15660</v>
      </c>
      <c r="J17" s="19">
        <f t="shared" si="7"/>
        <v>108060</v>
      </c>
      <c r="K17" s="19">
        <f t="shared" si="0"/>
        <v>29522.3078444407</v>
      </c>
      <c r="L17" s="24">
        <f t="shared" si="1"/>
        <v>2.3913373361222754E-4</v>
      </c>
      <c r="M17" s="20">
        <f t="shared" si="8"/>
        <v>9565.349344489101</v>
      </c>
      <c r="N17" s="7">
        <f>Cost_Drivers!B17+Cost_Drivers!C17+Cost_Drivers!E17</f>
        <v>134</v>
      </c>
      <c r="P17" s="7">
        <f t="shared" si="2"/>
        <v>4.9892396249878995E-4</v>
      </c>
      <c r="Q17" s="20">
        <f t="shared" si="9"/>
        <v>19956.958499951597</v>
      </c>
      <c r="R17" s="19">
        <f t="shared" si="3"/>
        <v>17002.122155559293</v>
      </c>
      <c r="S17" s="22">
        <f t="shared" si="4"/>
        <v>0.10998599377414202</v>
      </c>
      <c r="T17" s="21">
        <f t="shared" si="5"/>
        <v>0.69903547207179928</v>
      </c>
    </row>
    <row r="18" spans="1:20" x14ac:dyDescent="0.3">
      <c r="A18" s="7" t="s">
        <v>24</v>
      </c>
      <c r="B18" s="7" t="s">
        <v>258</v>
      </c>
      <c r="C18" s="19">
        <v>293163</v>
      </c>
      <c r="D18" s="15">
        <v>0.06</v>
      </c>
      <c r="E18" s="18">
        <f t="shared" si="6"/>
        <v>275573.21999999997</v>
      </c>
      <c r="F18" s="19">
        <f>Cost_Drivers!B18*Finance_Assumptions!$B$4</f>
        <v>24500</v>
      </c>
      <c r="G18" s="19">
        <f>Cost_Drivers!C18*Finance_Assumptions!$B$5</f>
        <v>83200</v>
      </c>
      <c r="H18" s="19">
        <f>Cost_Drivers!D18*Finance_Assumptions!$B$6</f>
        <v>17500</v>
      </c>
      <c r="I18" s="19">
        <f>Cost_Drivers!E18*Finance_Assumptions!$B$7</f>
        <v>13140</v>
      </c>
      <c r="J18" s="19">
        <f t="shared" si="7"/>
        <v>138340</v>
      </c>
      <c r="K18" s="19">
        <f t="shared" si="0"/>
        <v>40881.077509923212</v>
      </c>
      <c r="L18" s="24">
        <f t="shared" si="1"/>
        <v>4.2629683327191338E-4</v>
      </c>
      <c r="M18" s="20">
        <f t="shared" si="8"/>
        <v>17051.873330876537</v>
      </c>
      <c r="N18" s="7">
        <f>Cost_Drivers!B18+Cost_Drivers!C18+Cost_Drivers!E18</f>
        <v>160</v>
      </c>
      <c r="P18" s="7">
        <f t="shared" si="2"/>
        <v>5.9573010447616702E-4</v>
      </c>
      <c r="Q18" s="20">
        <f t="shared" si="9"/>
        <v>23829.204179046679</v>
      </c>
      <c r="R18" s="19">
        <f t="shared" si="3"/>
        <v>96352.14249007676</v>
      </c>
      <c r="S18" s="22">
        <f t="shared" si="4"/>
        <v>0.34964261944639169</v>
      </c>
      <c r="T18" s="21">
        <f t="shared" si="5"/>
        <v>0.50200814142970795</v>
      </c>
    </row>
    <row r="19" spans="1:20" x14ac:dyDescent="0.3">
      <c r="A19" s="7" t="s">
        <v>25</v>
      </c>
      <c r="B19" s="7" t="s">
        <v>259</v>
      </c>
      <c r="C19" s="19">
        <v>1545558</v>
      </c>
      <c r="D19" s="15">
        <v>0.03</v>
      </c>
      <c r="E19" s="18">
        <f t="shared" si="6"/>
        <v>1499191.26</v>
      </c>
      <c r="F19" s="19">
        <f>Cost_Drivers!B19*Finance_Assumptions!$B$4</f>
        <v>33600</v>
      </c>
      <c r="G19" s="19">
        <f>Cost_Drivers!C19*Finance_Assumptions!$B$5</f>
        <v>268800</v>
      </c>
      <c r="H19" s="19">
        <f>Cost_Drivers!D19*Finance_Assumptions!$B$6</f>
        <v>94750</v>
      </c>
      <c r="I19" s="19">
        <f>Cost_Drivers!E19*Finance_Assumptions!$B$7</f>
        <v>46980</v>
      </c>
      <c r="J19" s="19">
        <f t="shared" si="7"/>
        <v>444130</v>
      </c>
      <c r="K19" s="19">
        <f t="shared" si="0"/>
        <v>163807.51944580529</v>
      </c>
      <c r="L19" s="24">
        <f t="shared" si="1"/>
        <v>2.3191676121755585E-3</v>
      </c>
      <c r="M19" s="20">
        <f t="shared" si="8"/>
        <v>92766.704487022347</v>
      </c>
      <c r="N19" s="7">
        <f>Cost_Drivers!B19+Cost_Drivers!C19+Cost_Drivers!E19</f>
        <v>477</v>
      </c>
      <c r="P19" s="7">
        <f t="shared" si="2"/>
        <v>1.7760203739695731E-3</v>
      </c>
      <c r="Q19" s="20">
        <f t="shared" si="9"/>
        <v>71040.814958782925</v>
      </c>
      <c r="R19" s="19">
        <f t="shared" si="3"/>
        <v>891253.74055419466</v>
      </c>
      <c r="S19" s="22">
        <f t="shared" si="4"/>
        <v>0.59448968542825864</v>
      </c>
      <c r="T19" s="21">
        <f t="shared" si="5"/>
        <v>0.29624639087076854</v>
      </c>
    </row>
    <row r="20" spans="1:20" x14ac:dyDescent="0.3">
      <c r="A20" s="7" t="s">
        <v>26</v>
      </c>
      <c r="B20" s="7" t="s">
        <v>259</v>
      </c>
      <c r="C20" s="19">
        <v>1489555</v>
      </c>
      <c r="D20" s="15">
        <v>0.12</v>
      </c>
      <c r="E20" s="18">
        <f t="shared" si="6"/>
        <v>1310808.3999999999</v>
      </c>
      <c r="F20" s="19">
        <f>Cost_Drivers!B20*Finance_Assumptions!$B$4</f>
        <v>42000</v>
      </c>
      <c r="G20" s="19">
        <f>Cost_Drivers!C20*Finance_Assumptions!$B$5</f>
        <v>323200</v>
      </c>
      <c r="H20" s="19">
        <f>Cost_Drivers!D20*Finance_Assumptions!$B$6</f>
        <v>75750</v>
      </c>
      <c r="I20" s="19">
        <f>Cost_Drivers!E20*Finance_Assumptions!$B$7</f>
        <v>97920</v>
      </c>
      <c r="J20" s="19">
        <f t="shared" si="7"/>
        <v>538870</v>
      </c>
      <c r="K20" s="19">
        <f t="shared" si="0"/>
        <v>201149.59763088683</v>
      </c>
      <c r="L20" s="24">
        <f t="shared" si="1"/>
        <v>2.0277495394734786E-3</v>
      </c>
      <c r="M20" s="20">
        <f t="shared" si="8"/>
        <v>81109.981578939143</v>
      </c>
      <c r="N20" s="7">
        <f>Cost_Drivers!B20+Cost_Drivers!C20+Cost_Drivers!E20</f>
        <v>806</v>
      </c>
      <c r="P20" s="7">
        <f t="shared" si="2"/>
        <v>3.0009904012986916E-3</v>
      </c>
      <c r="Q20" s="20">
        <f t="shared" si="9"/>
        <v>120039.61605194767</v>
      </c>
      <c r="R20" s="19">
        <f t="shared" si="3"/>
        <v>570788.80236911308</v>
      </c>
      <c r="S20" s="22">
        <f t="shared" si="4"/>
        <v>0.43544792844561653</v>
      </c>
      <c r="T20" s="21">
        <f t="shared" si="5"/>
        <v>0.41109745711119949</v>
      </c>
    </row>
    <row r="21" spans="1:20" x14ac:dyDescent="0.3">
      <c r="A21" s="7" t="s">
        <v>27</v>
      </c>
      <c r="B21" s="7" t="s">
        <v>259</v>
      </c>
      <c r="C21" s="19">
        <v>1261358</v>
      </c>
      <c r="D21" s="15">
        <v>0.18</v>
      </c>
      <c r="E21" s="18">
        <f t="shared" si="6"/>
        <v>1034313.56</v>
      </c>
      <c r="F21" s="19">
        <f>Cost_Drivers!B21*Finance_Assumptions!$B$4</f>
        <v>51800</v>
      </c>
      <c r="G21" s="19">
        <f>Cost_Drivers!C21*Finance_Assumptions!$B$5</f>
        <v>273600</v>
      </c>
      <c r="H21" s="19">
        <f>Cost_Drivers!D21*Finance_Assumptions!$B$6</f>
        <v>27750</v>
      </c>
      <c r="I21" s="19">
        <f>Cost_Drivers!E21*Finance_Assumptions!$B$7</f>
        <v>57780</v>
      </c>
      <c r="J21" s="19">
        <f t="shared" si="7"/>
        <v>410930</v>
      </c>
      <c r="K21" s="19">
        <f t="shared" si="0"/>
        <v>148296.89018417991</v>
      </c>
      <c r="L21" s="24">
        <f t="shared" si="1"/>
        <v>1.6000270100200566E-3</v>
      </c>
      <c r="M21" s="20">
        <f t="shared" si="8"/>
        <v>64001.080400802261</v>
      </c>
      <c r="N21" s="7">
        <f>Cost_Drivers!B21+Cost_Drivers!C21+Cost_Drivers!E21</f>
        <v>566</v>
      </c>
      <c r="P21" s="7">
        <f t="shared" si="2"/>
        <v>2.107395244584441E-3</v>
      </c>
      <c r="Q21" s="20">
        <f t="shared" si="9"/>
        <v>84295.809783377641</v>
      </c>
      <c r="R21" s="19">
        <f t="shared" si="3"/>
        <v>475086.66981582018</v>
      </c>
      <c r="S21" s="22">
        <f t="shared" si="4"/>
        <v>0.45932557416710279</v>
      </c>
      <c r="T21" s="21">
        <f t="shared" si="5"/>
        <v>0.39729731475240448</v>
      </c>
    </row>
    <row r="22" spans="1:20" x14ac:dyDescent="0.3">
      <c r="A22" s="7" t="s">
        <v>28</v>
      </c>
      <c r="B22" s="7" t="s">
        <v>260</v>
      </c>
      <c r="C22" s="19">
        <v>12867528</v>
      </c>
      <c r="D22" s="15">
        <v>0.26</v>
      </c>
      <c r="E22" s="18">
        <f t="shared" si="6"/>
        <v>9521970.7200000007</v>
      </c>
      <c r="F22" s="19">
        <f>Cost_Drivers!B22*Finance_Assumptions!$B$4</f>
        <v>164500</v>
      </c>
      <c r="G22" s="19">
        <f>Cost_Drivers!C22*Finance_Assumptions!$B$5</f>
        <v>1364800</v>
      </c>
      <c r="H22" s="19">
        <f>Cost_Drivers!D22*Finance_Assumptions!$B$6</f>
        <v>183000</v>
      </c>
      <c r="I22" s="19">
        <f>Cost_Drivers!E22*Finance_Assumptions!$B$7</f>
        <v>500040</v>
      </c>
      <c r="J22" s="19">
        <f t="shared" si="7"/>
        <v>2212340</v>
      </c>
      <c r="K22" s="19">
        <f t="shared" si="0"/>
        <v>1164972.0477336333</v>
      </c>
      <c r="L22" s="24">
        <f t="shared" si="1"/>
        <v>1.4729972543935444E-2</v>
      </c>
      <c r="M22" s="20">
        <f t="shared" si="8"/>
        <v>589198.90175741783</v>
      </c>
      <c r="N22" s="7">
        <f>Cost_Drivers!B22+Cost_Drivers!C22+Cost_Drivers!E22</f>
        <v>3866</v>
      </c>
      <c r="P22" s="7">
        <f t="shared" si="2"/>
        <v>1.4394328649405387E-2</v>
      </c>
      <c r="Q22" s="20">
        <f t="shared" si="9"/>
        <v>575773.14597621548</v>
      </c>
      <c r="R22" s="19">
        <f t="shared" si="3"/>
        <v>6144658.6722663678</v>
      </c>
      <c r="S22" s="22">
        <f t="shared" si="4"/>
        <v>0.64531375415386361</v>
      </c>
      <c r="T22" s="21">
        <f t="shared" si="5"/>
        <v>0.23234055901402728</v>
      </c>
    </row>
    <row r="23" spans="1:20" x14ac:dyDescent="0.3">
      <c r="A23" s="7" t="s">
        <v>29</v>
      </c>
      <c r="B23" s="7" t="s">
        <v>259</v>
      </c>
      <c r="C23" s="19">
        <v>854441</v>
      </c>
      <c r="D23" s="15">
        <v>0.08</v>
      </c>
      <c r="E23" s="18">
        <f t="shared" si="6"/>
        <v>786085.72000000009</v>
      </c>
      <c r="F23" s="19">
        <f>Cost_Drivers!B23*Finance_Assumptions!$B$4</f>
        <v>16100</v>
      </c>
      <c r="G23" s="19">
        <f>Cost_Drivers!C23*Finance_Assumptions!$B$5</f>
        <v>275200</v>
      </c>
      <c r="H23" s="19">
        <f>Cost_Drivers!D23*Finance_Assumptions!$B$6</f>
        <v>67500</v>
      </c>
      <c r="I23" s="19">
        <f>Cost_Drivers!E23*Finance_Assumptions!$B$7</f>
        <v>24120</v>
      </c>
      <c r="J23" s="19">
        <f t="shared" si="7"/>
        <v>382920</v>
      </c>
      <c r="K23" s="19">
        <f t="shared" si="0"/>
        <v>97640.080984769884</v>
      </c>
      <c r="L23" s="24">
        <f t="shared" si="1"/>
        <v>1.2160319972901287E-3</v>
      </c>
      <c r="M23" s="20">
        <f t="shared" si="8"/>
        <v>48641.279891605147</v>
      </c>
      <c r="N23" s="7">
        <f>Cost_Drivers!B23+Cost_Drivers!C23+Cost_Drivers!E23</f>
        <v>329</v>
      </c>
      <c r="P23" s="7">
        <f t="shared" si="2"/>
        <v>1.2249700273291185E-3</v>
      </c>
      <c r="Q23" s="20">
        <f t="shared" si="9"/>
        <v>48998.801093164737</v>
      </c>
      <c r="R23" s="19">
        <f t="shared" si="3"/>
        <v>305525.63901523023</v>
      </c>
      <c r="S23" s="22">
        <f t="shared" si="4"/>
        <v>0.38866707693816166</v>
      </c>
      <c r="T23" s="21">
        <f t="shared" si="5"/>
        <v>0.48712244766385016</v>
      </c>
    </row>
    <row r="24" spans="1:20" x14ac:dyDescent="0.3">
      <c r="A24" s="7" t="s">
        <v>30</v>
      </c>
      <c r="B24" s="7" t="s">
        <v>260</v>
      </c>
      <c r="C24" s="19">
        <v>14872166</v>
      </c>
      <c r="D24" s="15">
        <v>0.14000000000000001</v>
      </c>
      <c r="E24" s="18">
        <f t="shared" si="6"/>
        <v>12790062.76</v>
      </c>
      <c r="F24" s="19">
        <f>Cost_Drivers!B24*Finance_Assumptions!$B$4</f>
        <v>36400</v>
      </c>
      <c r="G24" s="19">
        <f>Cost_Drivers!C24*Finance_Assumptions!$B$5</f>
        <v>1915200</v>
      </c>
      <c r="H24" s="19">
        <f>Cost_Drivers!D24*Finance_Assumptions!$B$6</f>
        <v>304750</v>
      </c>
      <c r="I24" s="19">
        <f>Cost_Drivers!E24*Finance_Assumptions!$B$7</f>
        <v>379080</v>
      </c>
      <c r="J24" s="19">
        <f t="shared" si="7"/>
        <v>2635430</v>
      </c>
      <c r="K24" s="19">
        <f t="shared" si="0"/>
        <v>1291089.9761499276</v>
      </c>
      <c r="L24" s="24">
        <f t="shared" si="1"/>
        <v>1.9785533775513561E-2</v>
      </c>
      <c r="M24" s="20">
        <f t="shared" si="8"/>
        <v>791421.35102054244</v>
      </c>
      <c r="N24" s="7">
        <f>Cost_Drivers!B24+Cost_Drivers!C24+Cost_Drivers!E24</f>
        <v>3355</v>
      </c>
      <c r="P24" s="7">
        <f t="shared" si="2"/>
        <v>1.2491715628234628E-2</v>
      </c>
      <c r="Q24" s="20">
        <f t="shared" si="9"/>
        <v>499668.62512938509</v>
      </c>
      <c r="R24" s="19">
        <f t="shared" si="3"/>
        <v>8863542.783850072</v>
      </c>
      <c r="S24" s="22">
        <f t="shared" si="4"/>
        <v>0.69300229015061321</v>
      </c>
      <c r="T24" s="21">
        <f t="shared" si="5"/>
        <v>0.20605293730396051</v>
      </c>
    </row>
    <row r="25" spans="1:20" x14ac:dyDescent="0.3">
      <c r="A25" s="7" t="s">
        <v>31</v>
      </c>
      <c r="B25" s="7" t="s">
        <v>259</v>
      </c>
      <c r="C25" s="19">
        <v>883675</v>
      </c>
      <c r="D25" s="15">
        <v>0.1</v>
      </c>
      <c r="E25" s="18">
        <f t="shared" si="6"/>
        <v>795307.5</v>
      </c>
      <c r="F25" s="19">
        <f>Cost_Drivers!B25*Finance_Assumptions!$B$4</f>
        <v>19600</v>
      </c>
      <c r="G25" s="19">
        <f>Cost_Drivers!C25*Finance_Assumptions!$B$5</f>
        <v>201600</v>
      </c>
      <c r="H25" s="19">
        <f>Cost_Drivers!D25*Finance_Assumptions!$B$6</f>
        <v>74750</v>
      </c>
      <c r="I25" s="19">
        <f>Cost_Drivers!E25*Finance_Assumptions!$B$7</f>
        <v>30600</v>
      </c>
      <c r="J25" s="19">
        <f t="shared" si="7"/>
        <v>326550</v>
      </c>
      <c r="K25" s="19">
        <f t="shared" si="0"/>
        <v>97466.042105079105</v>
      </c>
      <c r="L25" s="24">
        <f t="shared" si="1"/>
        <v>1.2302975910627393E-3</v>
      </c>
      <c r="M25" s="20">
        <f t="shared" si="8"/>
        <v>49211.903642509576</v>
      </c>
      <c r="N25" s="7">
        <f>Cost_Drivers!B25+Cost_Drivers!C25+Cost_Drivers!E25</f>
        <v>324</v>
      </c>
      <c r="P25" s="7">
        <f t="shared" si="2"/>
        <v>1.2063534615642383E-3</v>
      </c>
      <c r="Q25" s="20">
        <f t="shared" si="9"/>
        <v>48254.138462569528</v>
      </c>
      <c r="R25" s="19">
        <f t="shared" si="3"/>
        <v>371291.4578949209</v>
      </c>
      <c r="S25" s="22">
        <f t="shared" si="4"/>
        <v>0.46685270526798867</v>
      </c>
      <c r="T25" s="21">
        <f t="shared" si="5"/>
        <v>0.4105959015852359</v>
      </c>
    </row>
    <row r="26" spans="1:20" x14ac:dyDescent="0.3">
      <c r="A26" s="7" t="s">
        <v>32</v>
      </c>
      <c r="B26" s="7" t="s">
        <v>258</v>
      </c>
      <c r="C26" s="19">
        <v>289347</v>
      </c>
      <c r="D26" s="15">
        <v>0</v>
      </c>
      <c r="E26" s="18">
        <f t="shared" si="6"/>
        <v>289347</v>
      </c>
      <c r="F26" s="19">
        <f>Cost_Drivers!B26*Finance_Assumptions!$B$4</f>
        <v>21700</v>
      </c>
      <c r="G26" s="19">
        <f>Cost_Drivers!C26*Finance_Assumptions!$B$5</f>
        <v>132800</v>
      </c>
      <c r="H26" s="19">
        <f>Cost_Drivers!D26*Finance_Assumptions!$B$6</f>
        <v>18500</v>
      </c>
      <c r="I26" s="19">
        <f>Cost_Drivers!E26*Finance_Assumptions!$B$7</f>
        <v>4680</v>
      </c>
      <c r="J26" s="19">
        <f t="shared" si="7"/>
        <v>177680</v>
      </c>
      <c r="K26" s="19">
        <f t="shared" si="0"/>
        <v>38754.718628389637</v>
      </c>
      <c r="L26" s="24">
        <f t="shared" si="1"/>
        <v>4.4760412429309474E-4</v>
      </c>
      <c r="M26" s="20">
        <f t="shared" si="8"/>
        <v>17904.164971723789</v>
      </c>
      <c r="N26" s="7">
        <f>Cost_Drivers!B26+Cost_Drivers!C26+Cost_Drivers!E26</f>
        <v>140</v>
      </c>
      <c r="P26" s="7">
        <f t="shared" si="2"/>
        <v>5.2126384141664621E-4</v>
      </c>
      <c r="Q26" s="20">
        <f t="shared" si="9"/>
        <v>20850.553656665848</v>
      </c>
      <c r="R26" s="19">
        <f t="shared" si="3"/>
        <v>72912.281371610356</v>
      </c>
      <c r="S26" s="22">
        <f t="shared" si="4"/>
        <v>0.25198906977300733</v>
      </c>
      <c r="T26" s="21">
        <f t="shared" si="5"/>
        <v>0.61407237676561366</v>
      </c>
    </row>
    <row r="27" spans="1:20" x14ac:dyDescent="0.3">
      <c r="A27" s="7" t="s">
        <v>33</v>
      </c>
      <c r="B27" s="7" t="s">
        <v>259</v>
      </c>
      <c r="C27" s="19">
        <v>2375110</v>
      </c>
      <c r="D27" s="15">
        <v>0.02</v>
      </c>
      <c r="E27" s="18">
        <f t="shared" si="6"/>
        <v>2327607.7999999998</v>
      </c>
      <c r="F27" s="19">
        <f>Cost_Drivers!B27*Finance_Assumptions!$B$4</f>
        <v>42700</v>
      </c>
      <c r="G27" s="19">
        <f>Cost_Drivers!C27*Finance_Assumptions!$B$5</f>
        <v>342400</v>
      </c>
      <c r="H27" s="19">
        <f>Cost_Drivers!D27*Finance_Assumptions!$B$6</f>
        <v>84500</v>
      </c>
      <c r="I27" s="19">
        <f>Cost_Drivers!E27*Finance_Assumptions!$B$7</f>
        <v>71280</v>
      </c>
      <c r="J27" s="19">
        <f t="shared" si="7"/>
        <v>540880</v>
      </c>
      <c r="K27" s="19">
        <f t="shared" si="0"/>
        <v>243961.04876060062</v>
      </c>
      <c r="L27" s="24">
        <f t="shared" si="1"/>
        <v>3.6006830933680901E-3</v>
      </c>
      <c r="M27" s="20">
        <f t="shared" si="8"/>
        <v>144027.32373472361</v>
      </c>
      <c r="N27" s="7">
        <f>Cost_Drivers!B27+Cost_Drivers!C27+Cost_Drivers!E27</f>
        <v>671</v>
      </c>
      <c r="P27" s="7">
        <f t="shared" si="2"/>
        <v>2.4983431256469257E-3</v>
      </c>
      <c r="Q27" s="20">
        <f t="shared" si="9"/>
        <v>99933.725025877022</v>
      </c>
      <c r="R27" s="19">
        <f t="shared" si="3"/>
        <v>1542766.7512393992</v>
      </c>
      <c r="S27" s="22">
        <f t="shared" si="4"/>
        <v>0.66281215900694235</v>
      </c>
      <c r="T27" s="21">
        <f t="shared" si="5"/>
        <v>0.23237591831407337</v>
      </c>
    </row>
    <row r="28" spans="1:20" x14ac:dyDescent="0.3">
      <c r="A28" s="7" t="s">
        <v>34</v>
      </c>
      <c r="B28" s="7" t="s">
        <v>258</v>
      </c>
      <c r="C28" s="19">
        <v>274477</v>
      </c>
      <c r="D28" s="15">
        <v>0.05</v>
      </c>
      <c r="E28" s="18">
        <f t="shared" si="6"/>
        <v>260753.15</v>
      </c>
      <c r="F28" s="19">
        <f>Cost_Drivers!B28*Finance_Assumptions!$B$4</f>
        <v>17500</v>
      </c>
      <c r="G28" s="19">
        <f>Cost_Drivers!C28*Finance_Assumptions!$B$5</f>
        <v>112000</v>
      </c>
      <c r="H28" s="19">
        <f>Cost_Drivers!D28*Finance_Assumptions!$B$6</f>
        <v>18000</v>
      </c>
      <c r="I28" s="19">
        <f>Cost_Drivers!E28*Finance_Assumptions!$B$7</f>
        <v>6300</v>
      </c>
      <c r="J28" s="19">
        <f t="shared" si="7"/>
        <v>153800</v>
      </c>
      <c r="K28" s="19">
        <f t="shared" si="0"/>
        <v>35496.067928965116</v>
      </c>
      <c r="L28" s="24">
        <f t="shared" si="1"/>
        <v>4.0337098833724203E-4</v>
      </c>
      <c r="M28" s="20">
        <f t="shared" si="8"/>
        <v>16134.839533489681</v>
      </c>
      <c r="N28" s="7">
        <f>Cost_Drivers!B28+Cost_Drivers!C28+Cost_Drivers!E28</f>
        <v>130</v>
      </c>
      <c r="P28" s="7">
        <f t="shared" si="2"/>
        <v>4.8403070988688575E-4</v>
      </c>
      <c r="Q28" s="20">
        <f t="shared" si="9"/>
        <v>19361.228395475431</v>
      </c>
      <c r="R28" s="19">
        <f t="shared" si="3"/>
        <v>71457.082071034878</v>
      </c>
      <c r="S28" s="22">
        <f t="shared" si="4"/>
        <v>0.27404110773363571</v>
      </c>
      <c r="T28" s="21">
        <f t="shared" si="5"/>
        <v>0.58982988316727913</v>
      </c>
    </row>
    <row r="29" spans="1:20" x14ac:dyDescent="0.3">
      <c r="A29" s="7" t="s">
        <v>35</v>
      </c>
      <c r="B29" s="7" t="s">
        <v>258</v>
      </c>
      <c r="C29" s="19">
        <v>506094</v>
      </c>
      <c r="D29" s="15">
        <v>0.04</v>
      </c>
      <c r="E29" s="18">
        <f t="shared" si="6"/>
        <v>485850.24</v>
      </c>
      <c r="F29" s="19">
        <f>Cost_Drivers!B29*Finance_Assumptions!$B$4</f>
        <v>24500</v>
      </c>
      <c r="G29" s="19">
        <f>Cost_Drivers!C29*Finance_Assumptions!$B$5</f>
        <v>102400</v>
      </c>
      <c r="H29" s="19">
        <f>Cost_Drivers!D29*Finance_Assumptions!$B$6</f>
        <v>12500</v>
      </c>
      <c r="I29" s="19">
        <f>Cost_Drivers!E29*Finance_Assumptions!$B$7</f>
        <v>5400</v>
      </c>
      <c r="J29" s="19">
        <f t="shared" si="7"/>
        <v>144800</v>
      </c>
      <c r="K29" s="19">
        <f t="shared" si="0"/>
        <v>49275.655256222664</v>
      </c>
      <c r="L29" s="24">
        <f t="shared" si="1"/>
        <v>7.5158398467165693E-4</v>
      </c>
      <c r="M29" s="20">
        <f t="shared" si="8"/>
        <v>30063.359386866276</v>
      </c>
      <c r="N29" s="7">
        <f>Cost_Drivers!B29+Cost_Drivers!C29+Cost_Drivers!E29</f>
        <v>129</v>
      </c>
      <c r="P29" s="7">
        <f t="shared" si="2"/>
        <v>4.8030739673390969E-4</v>
      </c>
      <c r="Q29" s="20">
        <f t="shared" si="9"/>
        <v>19212.295869356389</v>
      </c>
      <c r="R29" s="19">
        <f t="shared" si="3"/>
        <v>291774.58474377735</v>
      </c>
      <c r="S29" s="22">
        <f t="shared" si="4"/>
        <v>0.60054428447699715</v>
      </c>
      <c r="T29" s="21">
        <f t="shared" si="5"/>
        <v>0.29803422552595632</v>
      </c>
    </row>
    <row r="30" spans="1:20" x14ac:dyDescent="0.3">
      <c r="A30" s="7" t="s">
        <v>36</v>
      </c>
      <c r="B30" s="7" t="s">
        <v>260</v>
      </c>
      <c r="C30" s="19">
        <v>13867742</v>
      </c>
      <c r="D30" s="15">
        <v>0.19</v>
      </c>
      <c r="E30" s="18">
        <f t="shared" si="6"/>
        <v>11232871.020000001</v>
      </c>
      <c r="F30" s="19">
        <f>Cost_Drivers!B30*Finance_Assumptions!$B$4</f>
        <v>172900</v>
      </c>
      <c r="G30" s="19">
        <f>Cost_Drivers!C30*Finance_Assumptions!$B$5</f>
        <v>1808000</v>
      </c>
      <c r="H30" s="19">
        <f>Cost_Drivers!D30*Finance_Assumptions!$B$6</f>
        <v>303000</v>
      </c>
      <c r="I30" s="19">
        <f>Cost_Drivers!E30*Finance_Assumptions!$B$7</f>
        <v>293940</v>
      </c>
      <c r="J30" s="19">
        <f t="shared" si="7"/>
        <v>2577840</v>
      </c>
      <c r="K30" s="19">
        <f t="shared" si="0"/>
        <v>1143352.6062113107</v>
      </c>
      <c r="L30" s="24">
        <f t="shared" si="1"/>
        <v>1.7376642564824872E-2</v>
      </c>
      <c r="M30" s="20">
        <f t="shared" si="8"/>
        <v>695065.7025929949</v>
      </c>
      <c r="N30" s="7">
        <f>Cost_Drivers!B30+Cost_Drivers!C30+Cost_Drivers!E30</f>
        <v>3010</v>
      </c>
      <c r="P30" s="7">
        <f t="shared" si="2"/>
        <v>1.1207172590457892E-2</v>
      </c>
      <c r="Q30" s="20">
        <f t="shared" si="9"/>
        <v>448286.9036183157</v>
      </c>
      <c r="R30" s="19">
        <f t="shared" si="3"/>
        <v>7511678.4137886912</v>
      </c>
      <c r="S30" s="22">
        <f t="shared" si="4"/>
        <v>0.66872292937524447</v>
      </c>
      <c r="T30" s="21">
        <f t="shared" si="5"/>
        <v>0.22949075044217856</v>
      </c>
    </row>
    <row r="31" spans="1:20" x14ac:dyDescent="0.3">
      <c r="A31" s="7" t="s">
        <v>37</v>
      </c>
      <c r="B31" s="7" t="s">
        <v>259</v>
      </c>
      <c r="C31" s="19">
        <v>925768</v>
      </c>
      <c r="D31" s="15">
        <v>0.04</v>
      </c>
      <c r="E31" s="18">
        <f t="shared" si="6"/>
        <v>888737.27999999991</v>
      </c>
      <c r="F31" s="19">
        <f>Cost_Drivers!B31*Finance_Assumptions!$B$4</f>
        <v>12600</v>
      </c>
      <c r="G31" s="19">
        <f>Cost_Drivers!C31*Finance_Assumptions!$B$5</f>
        <v>228800</v>
      </c>
      <c r="H31" s="19">
        <f>Cost_Drivers!D31*Finance_Assumptions!$B$6</f>
        <v>82250</v>
      </c>
      <c r="I31" s="19">
        <f>Cost_Drivers!E31*Finance_Assumptions!$B$7</f>
        <v>57060</v>
      </c>
      <c r="J31" s="19">
        <f t="shared" si="7"/>
        <v>380710</v>
      </c>
      <c r="K31" s="19">
        <f t="shared" si="0"/>
        <v>126182.88333093139</v>
      </c>
      <c r="L31" s="24">
        <f t="shared" si="1"/>
        <v>1.3748283961507357E-3</v>
      </c>
      <c r="M31" s="20">
        <f t="shared" si="8"/>
        <v>54993.135846029429</v>
      </c>
      <c r="N31" s="7">
        <f>Cost_Drivers!B31+Cost_Drivers!C31+Cost_Drivers!E31</f>
        <v>478</v>
      </c>
      <c r="P31" s="7">
        <f t="shared" si="2"/>
        <v>1.779743687122549E-3</v>
      </c>
      <c r="Q31" s="20">
        <f t="shared" si="9"/>
        <v>71189.747484901964</v>
      </c>
      <c r="R31" s="19">
        <f t="shared" si="3"/>
        <v>381844.39666906849</v>
      </c>
      <c r="S31" s="22">
        <f t="shared" si="4"/>
        <v>0.4296482270543085</v>
      </c>
      <c r="T31" s="21">
        <f t="shared" si="5"/>
        <v>0.42837181309644179</v>
      </c>
    </row>
    <row r="32" spans="1:20" x14ac:dyDescent="0.3">
      <c r="A32" s="7" t="s">
        <v>38</v>
      </c>
      <c r="B32" s="7" t="s">
        <v>259</v>
      </c>
      <c r="C32" s="19">
        <v>673094</v>
      </c>
      <c r="D32" s="15">
        <v>0.05</v>
      </c>
      <c r="E32" s="18">
        <f t="shared" si="6"/>
        <v>639439.29999999993</v>
      </c>
      <c r="F32" s="19">
        <f>Cost_Drivers!B32*Finance_Assumptions!$B$4</f>
        <v>52500</v>
      </c>
      <c r="G32" s="19">
        <f>Cost_Drivers!C32*Finance_Assumptions!$B$5</f>
        <v>230400</v>
      </c>
      <c r="H32" s="19">
        <f>Cost_Drivers!D32*Finance_Assumptions!$B$6</f>
        <v>66500</v>
      </c>
      <c r="I32" s="19">
        <f>Cost_Drivers!E32*Finance_Assumptions!$B$7</f>
        <v>29520</v>
      </c>
      <c r="J32" s="19">
        <f t="shared" si="7"/>
        <v>378920</v>
      </c>
      <c r="K32" s="19">
        <f t="shared" si="0"/>
        <v>96608.274897599433</v>
      </c>
      <c r="L32" s="24">
        <f t="shared" si="1"/>
        <v>9.8917793485016076E-4</v>
      </c>
      <c r="M32" s="20">
        <f t="shared" si="8"/>
        <v>39567.117394006433</v>
      </c>
      <c r="N32" s="7">
        <f>Cost_Drivers!B32+Cost_Drivers!C32+Cost_Drivers!E32</f>
        <v>383</v>
      </c>
      <c r="P32" s="7">
        <f t="shared" si="2"/>
        <v>1.426028937589825E-3</v>
      </c>
      <c r="Q32" s="20">
        <f t="shared" si="9"/>
        <v>57041.157503593</v>
      </c>
      <c r="R32" s="19">
        <f t="shared" si="3"/>
        <v>163911.02510240051</v>
      </c>
      <c r="S32" s="22">
        <f t="shared" si="4"/>
        <v>0.25633555069636871</v>
      </c>
      <c r="T32" s="21">
        <f t="shared" si="5"/>
        <v>0.59258165708613786</v>
      </c>
    </row>
    <row r="33" spans="1:20" x14ac:dyDescent="0.3">
      <c r="A33" s="7" t="s">
        <v>39</v>
      </c>
      <c r="B33" s="7" t="s">
        <v>260</v>
      </c>
      <c r="C33" s="19">
        <v>11348633</v>
      </c>
      <c r="D33" s="15">
        <v>0.32</v>
      </c>
      <c r="E33" s="18">
        <f t="shared" si="6"/>
        <v>7717070.4399999995</v>
      </c>
      <c r="F33" s="19">
        <f>Cost_Drivers!B33*Finance_Assumptions!$B$4</f>
        <v>172900</v>
      </c>
      <c r="G33" s="19">
        <f>Cost_Drivers!C33*Finance_Assumptions!$B$5</f>
        <v>1819200</v>
      </c>
      <c r="H33" s="19">
        <f>Cost_Drivers!D33*Finance_Assumptions!$B$6</f>
        <v>136250</v>
      </c>
      <c r="I33" s="19">
        <f>Cost_Drivers!E33*Finance_Assumptions!$B$7</f>
        <v>92160</v>
      </c>
      <c r="J33" s="19">
        <f t="shared" si="7"/>
        <v>2220510</v>
      </c>
      <c r="K33" s="19">
        <f t="shared" si="0"/>
        <v>759891.655500383</v>
      </c>
      <c r="L33" s="24">
        <f t="shared" si="1"/>
        <v>1.1937889649466996E-2</v>
      </c>
      <c r="M33" s="20">
        <f t="shared" si="8"/>
        <v>477515.58597867982</v>
      </c>
      <c r="N33" s="7">
        <f>Cost_Drivers!B33+Cost_Drivers!C33+Cost_Drivers!E33</f>
        <v>1896</v>
      </c>
      <c r="P33" s="7">
        <f t="shared" si="2"/>
        <v>7.05940173804258E-3</v>
      </c>
      <c r="Q33" s="20">
        <f t="shared" si="9"/>
        <v>282376.06952170318</v>
      </c>
      <c r="R33" s="19">
        <f t="shared" si="3"/>
        <v>4736668.7844996164</v>
      </c>
      <c r="S33" s="22">
        <f t="shared" si="4"/>
        <v>0.61379105210028595</v>
      </c>
      <c r="T33" s="21">
        <f t="shared" si="5"/>
        <v>0.28774001964403478</v>
      </c>
    </row>
    <row r="34" spans="1:20" x14ac:dyDescent="0.3">
      <c r="A34" s="7" t="s">
        <v>40</v>
      </c>
      <c r="B34" s="7" t="s">
        <v>260</v>
      </c>
      <c r="C34" s="19">
        <v>2654186</v>
      </c>
      <c r="D34" s="15">
        <v>0.25</v>
      </c>
      <c r="E34" s="18">
        <f t="shared" si="6"/>
        <v>1990639.5</v>
      </c>
      <c r="F34" s="19">
        <f>Cost_Drivers!B34*Finance_Assumptions!$B$4</f>
        <v>141400</v>
      </c>
      <c r="G34" s="19">
        <f>Cost_Drivers!C34*Finance_Assumptions!$B$5</f>
        <v>1520000</v>
      </c>
      <c r="H34" s="19">
        <f>Cost_Drivers!D34*Finance_Assumptions!$B$6</f>
        <v>431250</v>
      </c>
      <c r="I34" s="19">
        <f>Cost_Drivers!E34*Finance_Assumptions!$B$7</f>
        <v>629280</v>
      </c>
      <c r="J34" s="19">
        <f t="shared" si="7"/>
        <v>2721930</v>
      </c>
      <c r="K34" s="19">
        <f t="shared" si="0"/>
        <v>815414.83737710596</v>
      </c>
      <c r="L34" s="24">
        <f t="shared" si="1"/>
        <v>3.079411399394996E-3</v>
      </c>
      <c r="M34" s="20">
        <f t="shared" si="8"/>
        <v>123176.45597579984</v>
      </c>
      <c r="N34" s="7">
        <f>Cost_Drivers!B34+Cost_Drivers!C34+Cost_Drivers!E34</f>
        <v>4648</v>
      </c>
      <c r="P34" s="7">
        <f t="shared" si="2"/>
        <v>1.7305959535032653E-2</v>
      </c>
      <c r="Q34" s="20">
        <f t="shared" si="9"/>
        <v>692238.38140130613</v>
      </c>
      <c r="R34" s="19">
        <f t="shared" si="3"/>
        <v>-1546705.3373771058</v>
      </c>
      <c r="S34" s="22">
        <f t="shared" si="4"/>
        <v>-0.77698917226203235</v>
      </c>
      <c r="T34" s="21">
        <f t="shared" si="5"/>
        <v>1.3673646082075634</v>
      </c>
    </row>
    <row r="35" spans="1:20" x14ac:dyDescent="0.3">
      <c r="A35" s="7" t="s">
        <v>41</v>
      </c>
      <c r="B35" s="7" t="s">
        <v>258</v>
      </c>
      <c r="C35" s="19">
        <v>420466</v>
      </c>
      <c r="D35" s="15">
        <v>0.04</v>
      </c>
      <c r="E35" s="18">
        <f t="shared" si="6"/>
        <v>403647.36</v>
      </c>
      <c r="F35" s="19">
        <f>Cost_Drivers!B35*Finance_Assumptions!$B$4</f>
        <v>20300</v>
      </c>
      <c r="G35" s="19">
        <f>Cost_Drivers!C35*Finance_Assumptions!$B$5</f>
        <v>86400</v>
      </c>
      <c r="H35" s="19">
        <f>Cost_Drivers!D35*Finance_Assumptions!$B$6</f>
        <v>5000</v>
      </c>
      <c r="I35" s="19">
        <f>Cost_Drivers!E35*Finance_Assumptions!$B$7</f>
        <v>17820</v>
      </c>
      <c r="J35" s="19">
        <f t="shared" si="7"/>
        <v>129520</v>
      </c>
      <c r="K35" s="19">
        <f t="shared" si="0"/>
        <v>52082.543165834315</v>
      </c>
      <c r="L35" s="24">
        <f t="shared" si="1"/>
        <v>6.2442058530421795E-4</v>
      </c>
      <c r="M35" s="20">
        <f t="shared" si="8"/>
        <v>24976.823412168716</v>
      </c>
      <c r="N35" s="7">
        <f>Cost_Drivers!B35+Cost_Drivers!C35+Cost_Drivers!E35</f>
        <v>182</v>
      </c>
      <c r="P35" s="7">
        <f t="shared" si="2"/>
        <v>6.7764299384164006E-4</v>
      </c>
      <c r="Q35" s="20">
        <f t="shared" si="9"/>
        <v>27105.719753665602</v>
      </c>
      <c r="R35" s="19">
        <f t="shared" si="3"/>
        <v>222044.81683416566</v>
      </c>
      <c r="S35" s="22">
        <f t="shared" si="4"/>
        <v>0.55009604629686082</v>
      </c>
      <c r="T35" s="21">
        <f t="shared" si="5"/>
        <v>0.32087414123060287</v>
      </c>
    </row>
    <row r="36" spans="1:20" x14ac:dyDescent="0.3">
      <c r="A36" s="7" t="s">
        <v>42</v>
      </c>
      <c r="B36" s="7" t="s">
        <v>258</v>
      </c>
      <c r="C36" s="19">
        <v>182238</v>
      </c>
      <c r="D36" s="15">
        <v>0.09</v>
      </c>
      <c r="E36" s="18">
        <f t="shared" si="6"/>
        <v>165836.58000000002</v>
      </c>
      <c r="F36" s="19">
        <f>Cost_Drivers!B36*Finance_Assumptions!$B$4</f>
        <v>17500</v>
      </c>
      <c r="G36" s="19">
        <f>Cost_Drivers!C36*Finance_Assumptions!$B$5</f>
        <v>179200</v>
      </c>
      <c r="H36" s="19">
        <f>Cost_Drivers!D36*Finance_Assumptions!$B$6</f>
        <v>12000</v>
      </c>
      <c r="I36" s="19">
        <f>Cost_Drivers!E36*Finance_Assumptions!$B$7</f>
        <v>14220</v>
      </c>
      <c r="J36" s="19">
        <f t="shared" si="7"/>
        <v>222920</v>
      </c>
      <c r="K36" s="19">
        <f t="shared" si="0"/>
        <v>42431.033630275095</v>
      </c>
      <c r="L36" s="24">
        <f t="shared" si="1"/>
        <v>2.5654019971405181E-4</v>
      </c>
      <c r="M36" s="20">
        <f t="shared" si="8"/>
        <v>10261.607988562073</v>
      </c>
      <c r="N36" s="7">
        <f>Cost_Drivers!B36+Cost_Drivers!C36+Cost_Drivers!E36</f>
        <v>216</v>
      </c>
      <c r="P36" s="7">
        <f t="shared" si="2"/>
        <v>8.0423564104282553E-4</v>
      </c>
      <c r="Q36" s="20">
        <f t="shared" si="9"/>
        <v>32169.42564171302</v>
      </c>
      <c r="R36" s="19">
        <f t="shared" si="3"/>
        <v>-99514.453630275078</v>
      </c>
      <c r="S36" s="22">
        <f t="shared" si="4"/>
        <v>-0.60007540935947346</v>
      </c>
      <c r="T36" s="21">
        <f t="shared" si="5"/>
        <v>1.3442148891396577</v>
      </c>
    </row>
    <row r="37" spans="1:20" x14ac:dyDescent="0.3">
      <c r="A37" s="7" t="s">
        <v>43</v>
      </c>
      <c r="B37" s="7" t="s">
        <v>260</v>
      </c>
      <c r="C37" s="19">
        <v>5095616</v>
      </c>
      <c r="D37" s="15">
        <v>0.21</v>
      </c>
      <c r="E37" s="18">
        <f t="shared" si="6"/>
        <v>4025536.64</v>
      </c>
      <c r="F37" s="19">
        <f>Cost_Drivers!B37*Finance_Assumptions!$B$4</f>
        <v>75600</v>
      </c>
      <c r="G37" s="19">
        <f>Cost_Drivers!C37*Finance_Assumptions!$B$5</f>
        <v>1846400</v>
      </c>
      <c r="H37" s="19">
        <f>Cost_Drivers!D37*Finance_Assumptions!$B$6</f>
        <v>266250</v>
      </c>
      <c r="I37" s="19">
        <f>Cost_Drivers!E37*Finance_Assumptions!$B$7</f>
        <v>370440</v>
      </c>
      <c r="J37" s="19">
        <f t="shared" si="7"/>
        <v>2558690</v>
      </c>
      <c r="K37" s="19">
        <f t="shared" si="0"/>
        <v>743547.46546660946</v>
      </c>
      <c r="L37" s="24">
        <f t="shared" si="1"/>
        <v>6.2272869687847706E-3</v>
      </c>
      <c r="M37" s="20">
        <f t="shared" si="8"/>
        <v>249091.47875139082</v>
      </c>
      <c r="N37" s="7">
        <f>Cost_Drivers!B37+Cost_Drivers!C37+Cost_Drivers!E37</f>
        <v>3320</v>
      </c>
      <c r="P37" s="7">
        <f t="shared" si="2"/>
        <v>1.2361399667880467E-2</v>
      </c>
      <c r="Q37" s="20">
        <f t="shared" si="9"/>
        <v>494455.98671521863</v>
      </c>
      <c r="R37" s="19">
        <f t="shared" si="3"/>
        <v>723299.17453339067</v>
      </c>
      <c r="S37" s="22">
        <f t="shared" si="4"/>
        <v>0.17967770243258566</v>
      </c>
      <c r="T37" s="21">
        <f t="shared" si="5"/>
        <v>0.63561463447516897</v>
      </c>
    </row>
    <row r="38" spans="1:20" x14ac:dyDescent="0.3">
      <c r="A38" s="7" t="s">
        <v>44</v>
      </c>
      <c r="B38" s="7" t="s">
        <v>260</v>
      </c>
      <c r="C38" s="19">
        <v>5437630</v>
      </c>
      <c r="D38" s="15">
        <v>0.14000000000000001</v>
      </c>
      <c r="E38" s="18">
        <f t="shared" si="6"/>
        <v>4676361.8</v>
      </c>
      <c r="F38" s="19">
        <f>Cost_Drivers!B38*Finance_Assumptions!$B$4</f>
        <v>80500</v>
      </c>
      <c r="G38" s="19">
        <f>Cost_Drivers!C38*Finance_Assumptions!$B$5</f>
        <v>1579200</v>
      </c>
      <c r="H38" s="19">
        <f>Cost_Drivers!D38*Finance_Assumptions!$B$6</f>
        <v>235500</v>
      </c>
      <c r="I38" s="19">
        <f>Cost_Drivers!E38*Finance_Assumptions!$B$7</f>
        <v>412740</v>
      </c>
      <c r="J38" s="19">
        <f t="shared" si="7"/>
        <v>2307940</v>
      </c>
      <c r="K38" s="19">
        <f t="shared" si="0"/>
        <v>794989.05464849481</v>
      </c>
      <c r="L38" s="24">
        <f t="shared" si="1"/>
        <v>7.234078211858703E-3</v>
      </c>
      <c r="M38" s="20">
        <f t="shared" si="8"/>
        <v>289363.12847434811</v>
      </c>
      <c r="N38" s="7">
        <f>Cost_Drivers!B38+Cost_Drivers!C38+Cost_Drivers!E38</f>
        <v>3395</v>
      </c>
      <c r="P38" s="7">
        <f t="shared" si="2"/>
        <v>1.264064815435367E-2</v>
      </c>
      <c r="Q38" s="20">
        <f t="shared" si="9"/>
        <v>505625.92617414676</v>
      </c>
      <c r="R38" s="19">
        <f t="shared" si="3"/>
        <v>1573432.745351505</v>
      </c>
      <c r="S38" s="22">
        <f t="shared" si="4"/>
        <v>0.33646514376871034</v>
      </c>
      <c r="T38" s="21">
        <f t="shared" si="5"/>
        <v>0.49353324201733068</v>
      </c>
    </row>
    <row r="39" spans="1:20" x14ac:dyDescent="0.3">
      <c r="A39" s="7" t="s">
        <v>45</v>
      </c>
      <c r="B39" s="7" t="s">
        <v>258</v>
      </c>
      <c r="C39" s="19">
        <v>187894</v>
      </c>
      <c r="D39" s="15">
        <v>7.0000000000000007E-2</v>
      </c>
      <c r="E39" s="18">
        <f t="shared" si="6"/>
        <v>174741.41999999998</v>
      </c>
      <c r="F39" s="19">
        <f>Cost_Drivers!B39*Finance_Assumptions!$B$4</f>
        <v>17500</v>
      </c>
      <c r="G39" s="19">
        <f>Cost_Drivers!C39*Finance_Assumptions!$B$5</f>
        <v>116800</v>
      </c>
      <c r="H39" s="19">
        <f>Cost_Drivers!D39*Finance_Assumptions!$B$6</f>
        <v>12750</v>
      </c>
      <c r="I39" s="19">
        <f>Cost_Drivers!E39*Finance_Assumptions!$B$7</f>
        <v>17460</v>
      </c>
      <c r="J39" s="19">
        <f t="shared" si="7"/>
        <v>164510</v>
      </c>
      <c r="K39" s="19">
        <f t="shared" si="0"/>
        <v>39854.462772697552</v>
      </c>
      <c r="L39" s="24">
        <f t="shared" si="1"/>
        <v>2.7031550448711016E-4</v>
      </c>
      <c r="M39" s="20">
        <f t="shared" si="8"/>
        <v>10812.620179484406</v>
      </c>
      <c r="N39" s="7">
        <f>Cost_Drivers!B39+Cost_Drivers!C39+Cost_Drivers!E39</f>
        <v>195</v>
      </c>
      <c r="P39" s="7">
        <f t="shared" si="2"/>
        <v>7.2604606483032865E-4</v>
      </c>
      <c r="Q39" s="20">
        <f t="shared" si="9"/>
        <v>29041.842593213147</v>
      </c>
      <c r="R39" s="19">
        <f t="shared" si="3"/>
        <v>-29623.042772697569</v>
      </c>
      <c r="S39" s="22">
        <f t="shared" si="4"/>
        <v>-0.16952502029969524</v>
      </c>
      <c r="T39" s="21">
        <f t="shared" si="5"/>
        <v>0.94144822675699913</v>
      </c>
    </row>
    <row r="40" spans="1:20" x14ac:dyDescent="0.3">
      <c r="A40" s="7" t="s">
        <v>46</v>
      </c>
      <c r="B40" s="7" t="s">
        <v>258</v>
      </c>
      <c r="C40" s="19">
        <v>321556</v>
      </c>
      <c r="D40" s="15">
        <v>0.06</v>
      </c>
      <c r="E40" s="18">
        <f t="shared" si="6"/>
        <v>302262.63999999996</v>
      </c>
      <c r="F40" s="19">
        <f>Cost_Drivers!B40*Finance_Assumptions!$B$4</f>
        <v>11900</v>
      </c>
      <c r="G40" s="19">
        <f>Cost_Drivers!C40*Finance_Assumptions!$B$5</f>
        <v>124800</v>
      </c>
      <c r="H40" s="19">
        <f>Cost_Drivers!D40*Finance_Assumptions!$B$6</f>
        <v>8000</v>
      </c>
      <c r="I40" s="19">
        <f>Cost_Drivers!E40*Finance_Assumptions!$B$7</f>
        <v>4320</v>
      </c>
      <c r="J40" s="19">
        <f t="shared" si="7"/>
        <v>149020</v>
      </c>
      <c r="K40" s="19">
        <f t="shared" si="0"/>
        <v>36426.327378233596</v>
      </c>
      <c r="L40" s="24">
        <f t="shared" si="1"/>
        <v>4.6758391925169065E-4</v>
      </c>
      <c r="M40" s="20">
        <f t="shared" si="8"/>
        <v>18703.356770067625</v>
      </c>
      <c r="N40" s="7">
        <f>Cost_Drivers!B40+Cost_Drivers!C40+Cost_Drivers!E40</f>
        <v>119</v>
      </c>
      <c r="P40" s="7">
        <f t="shared" si="2"/>
        <v>4.4307426520414928E-4</v>
      </c>
      <c r="Q40" s="20">
        <f t="shared" si="9"/>
        <v>17722.970608165971</v>
      </c>
      <c r="R40" s="19">
        <f t="shared" si="3"/>
        <v>116816.31262176635</v>
      </c>
      <c r="S40" s="22">
        <f t="shared" si="4"/>
        <v>0.38647287875791186</v>
      </c>
      <c r="T40" s="21">
        <f t="shared" si="5"/>
        <v>0.49301494885375191</v>
      </c>
    </row>
    <row r="41" spans="1:20" x14ac:dyDescent="0.3">
      <c r="A41" s="7" t="s">
        <v>47</v>
      </c>
      <c r="B41" s="7" t="s">
        <v>258</v>
      </c>
      <c r="C41" s="19">
        <v>593527</v>
      </c>
      <c r="D41" s="15">
        <v>0.02</v>
      </c>
      <c r="E41" s="18">
        <f t="shared" si="6"/>
        <v>581656.46</v>
      </c>
      <c r="F41" s="19">
        <f>Cost_Drivers!B41*Finance_Assumptions!$B$4</f>
        <v>12600</v>
      </c>
      <c r="G41" s="19">
        <f>Cost_Drivers!C41*Finance_Assumptions!$B$5</f>
        <v>107200</v>
      </c>
      <c r="H41" s="19">
        <f>Cost_Drivers!D41*Finance_Assumptions!$B$6</f>
        <v>14000</v>
      </c>
      <c r="I41" s="19">
        <f>Cost_Drivers!E41*Finance_Assumptions!$B$7</f>
        <v>9900</v>
      </c>
      <c r="J41" s="19">
        <f t="shared" si="7"/>
        <v>143700</v>
      </c>
      <c r="K41" s="19">
        <f t="shared" si="0"/>
        <v>56842.194201440318</v>
      </c>
      <c r="L41" s="24">
        <f t="shared" si="1"/>
        <v>8.9979101361936176E-4</v>
      </c>
      <c r="M41" s="20">
        <f t="shared" si="8"/>
        <v>35991.640544774469</v>
      </c>
      <c r="N41" s="7">
        <f>Cost_Drivers!B41+Cost_Drivers!C41+Cost_Drivers!E41</f>
        <v>140</v>
      </c>
      <c r="P41" s="7">
        <f t="shared" si="2"/>
        <v>5.2126384141664621E-4</v>
      </c>
      <c r="Q41" s="20">
        <f t="shared" si="9"/>
        <v>20850.553656665848</v>
      </c>
      <c r="R41" s="19">
        <f t="shared" si="3"/>
        <v>381114.26579855965</v>
      </c>
      <c r="S41" s="22">
        <f t="shared" si="4"/>
        <v>0.65522226951379459</v>
      </c>
      <c r="T41" s="21">
        <f t="shared" si="5"/>
        <v>0.24705304571017747</v>
      </c>
    </row>
    <row r="42" spans="1:20" x14ac:dyDescent="0.3">
      <c r="A42" s="7" t="s">
        <v>48</v>
      </c>
      <c r="B42" s="7" t="s">
        <v>259</v>
      </c>
      <c r="C42" s="19">
        <v>1170648</v>
      </c>
      <c r="D42" s="15">
        <v>0.15</v>
      </c>
      <c r="E42" s="18">
        <f t="shared" si="6"/>
        <v>995050.79999999993</v>
      </c>
      <c r="F42" s="19">
        <f>Cost_Drivers!B42*Finance_Assumptions!$B$4</f>
        <v>14000</v>
      </c>
      <c r="G42" s="19">
        <f>Cost_Drivers!C42*Finance_Assumptions!$B$5</f>
        <v>339200</v>
      </c>
      <c r="H42" s="19">
        <f>Cost_Drivers!D42*Finance_Assumptions!$B$6</f>
        <v>29250</v>
      </c>
      <c r="I42" s="19">
        <f>Cost_Drivers!E42*Finance_Assumptions!$B$7</f>
        <v>29700</v>
      </c>
      <c r="J42" s="19">
        <f t="shared" si="7"/>
        <v>412150</v>
      </c>
      <c r="K42" s="19">
        <f t="shared" si="0"/>
        <v>120697.79881432117</v>
      </c>
      <c r="L42" s="24">
        <f t="shared" si="1"/>
        <v>1.5392896486265395E-3</v>
      </c>
      <c r="M42" s="20">
        <f t="shared" si="8"/>
        <v>61571.585945061583</v>
      </c>
      <c r="N42" s="7">
        <f>Cost_Drivers!B42+Cost_Drivers!C42+Cost_Drivers!E42</f>
        <v>397</v>
      </c>
      <c r="P42" s="7">
        <f t="shared" si="2"/>
        <v>1.4781553217314896E-3</v>
      </c>
      <c r="Q42" s="20">
        <f t="shared" si="9"/>
        <v>59126.212869259587</v>
      </c>
      <c r="R42" s="19">
        <f t="shared" si="3"/>
        <v>462203.00118567876</v>
      </c>
      <c r="S42" s="22">
        <f t="shared" si="4"/>
        <v>0.46450191405873831</v>
      </c>
      <c r="T42" s="21">
        <f t="shared" si="5"/>
        <v>0.41419995843428298</v>
      </c>
    </row>
    <row r="43" spans="1:20" x14ac:dyDescent="0.3">
      <c r="A43" s="7" t="s">
        <v>49</v>
      </c>
      <c r="B43" s="7" t="s">
        <v>259</v>
      </c>
      <c r="C43" s="19">
        <v>1555785</v>
      </c>
      <c r="D43" s="15">
        <v>0.18</v>
      </c>
      <c r="E43" s="18">
        <f t="shared" si="6"/>
        <v>1275743.7000000002</v>
      </c>
      <c r="F43" s="19">
        <f>Cost_Drivers!B43*Finance_Assumptions!$B$4</f>
        <v>37100</v>
      </c>
      <c r="G43" s="19">
        <f>Cost_Drivers!C43*Finance_Assumptions!$B$5</f>
        <v>369600</v>
      </c>
      <c r="H43" s="19">
        <f>Cost_Drivers!D43*Finance_Assumptions!$B$6</f>
        <v>36750</v>
      </c>
      <c r="I43" s="19">
        <f>Cost_Drivers!E43*Finance_Assumptions!$B$7</f>
        <v>20160</v>
      </c>
      <c r="J43" s="19">
        <f t="shared" si="7"/>
        <v>463610</v>
      </c>
      <c r="K43" s="19">
        <f t="shared" si="0"/>
        <v>137917.53431652649</v>
      </c>
      <c r="L43" s="24">
        <f t="shared" si="1"/>
        <v>1.9735063493346488E-3</v>
      </c>
      <c r="M43" s="20">
        <f t="shared" si="8"/>
        <v>78940.253973385945</v>
      </c>
      <c r="N43" s="7">
        <f>Cost_Drivers!B43+Cost_Drivers!C43+Cost_Drivers!E43</f>
        <v>396</v>
      </c>
      <c r="P43" s="7">
        <f t="shared" si="2"/>
        <v>1.4744320085785135E-3</v>
      </c>
      <c r="Q43" s="20">
        <f t="shared" si="9"/>
        <v>58977.280343140541</v>
      </c>
      <c r="R43" s="19">
        <f t="shared" si="3"/>
        <v>674216.16568347369</v>
      </c>
      <c r="S43" s="22">
        <f t="shared" si="4"/>
        <v>0.52848872832644489</v>
      </c>
      <c r="T43" s="21">
        <f t="shared" si="5"/>
        <v>0.36340371502520447</v>
      </c>
    </row>
    <row r="44" spans="1:20" x14ac:dyDescent="0.3">
      <c r="A44" s="7" t="s">
        <v>50</v>
      </c>
      <c r="B44" s="7" t="s">
        <v>260</v>
      </c>
      <c r="C44" s="19">
        <v>13759633</v>
      </c>
      <c r="D44" s="15">
        <v>0.1</v>
      </c>
      <c r="E44" s="18">
        <f t="shared" si="6"/>
        <v>12383669.700000001</v>
      </c>
      <c r="F44" s="19">
        <f>Cost_Drivers!B44*Finance_Assumptions!$B$4</f>
        <v>102200</v>
      </c>
      <c r="G44" s="19">
        <f>Cost_Drivers!C44*Finance_Assumptions!$B$5</f>
        <v>811200</v>
      </c>
      <c r="H44" s="19">
        <f>Cost_Drivers!D44*Finance_Assumptions!$B$6</f>
        <v>492500</v>
      </c>
      <c r="I44" s="19">
        <f>Cost_Drivers!E44*Finance_Assumptions!$B$7</f>
        <v>213120</v>
      </c>
      <c r="J44" s="19">
        <f t="shared" si="7"/>
        <v>1619020</v>
      </c>
      <c r="K44" s="19">
        <f t="shared" si="0"/>
        <v>1039863.6801265281</v>
      </c>
      <c r="L44" s="24">
        <f t="shared" si="1"/>
        <v>1.9156865741146209E-2</v>
      </c>
      <c r="M44" s="20">
        <f t="shared" si="8"/>
        <v>766274.62964584841</v>
      </c>
      <c r="N44" s="7">
        <f>Cost_Drivers!B44+Cost_Drivers!C44+Cost_Drivers!E44</f>
        <v>1837</v>
      </c>
      <c r="P44" s="7">
        <f t="shared" si="2"/>
        <v>6.8397262620169931E-3</v>
      </c>
      <c r="Q44" s="20">
        <f t="shared" si="9"/>
        <v>273589.05048067973</v>
      </c>
      <c r="R44" s="19">
        <f t="shared" si="3"/>
        <v>9724786.0198734738</v>
      </c>
      <c r="S44" s="22">
        <f t="shared" si="4"/>
        <v>0.78529113384487903</v>
      </c>
      <c r="T44" s="21">
        <f t="shared" si="5"/>
        <v>0.13073830610969864</v>
      </c>
    </row>
    <row r="45" spans="1:20" x14ac:dyDescent="0.3">
      <c r="A45" s="7" t="s">
        <v>51</v>
      </c>
      <c r="B45" s="7" t="s">
        <v>258</v>
      </c>
      <c r="C45" s="19">
        <v>360551</v>
      </c>
      <c r="D45" s="15">
        <v>0.04</v>
      </c>
      <c r="E45" s="18">
        <f t="shared" si="6"/>
        <v>346128.95999999996</v>
      </c>
      <c r="F45" s="19">
        <f>Cost_Drivers!B45*Finance_Assumptions!$B$4</f>
        <v>20300</v>
      </c>
      <c r="G45" s="19">
        <f>Cost_Drivers!C45*Finance_Assumptions!$B$5</f>
        <v>179200</v>
      </c>
      <c r="H45" s="19">
        <f>Cost_Drivers!D45*Finance_Assumptions!$B$6</f>
        <v>5750</v>
      </c>
      <c r="I45" s="19">
        <f>Cost_Drivers!E45*Finance_Assumptions!$B$7</f>
        <v>7740</v>
      </c>
      <c r="J45" s="19">
        <f t="shared" si="7"/>
        <v>212990</v>
      </c>
      <c r="K45" s="19">
        <f t="shared" si="0"/>
        <v>48821.294342657769</v>
      </c>
      <c r="L45" s="24">
        <f t="shared" si="1"/>
        <v>5.3544273841885212E-4</v>
      </c>
      <c r="M45" s="20">
        <f t="shared" si="8"/>
        <v>21417.709536754086</v>
      </c>
      <c r="N45" s="7">
        <f>Cost_Drivers!B45+Cost_Drivers!C45+Cost_Drivers!E45</f>
        <v>184</v>
      </c>
      <c r="P45" s="7">
        <f t="shared" si="2"/>
        <v>6.8508962014759219E-4</v>
      </c>
      <c r="Q45" s="20">
        <f t="shared" si="9"/>
        <v>27403.584805903687</v>
      </c>
      <c r="R45" s="19">
        <f t="shared" si="3"/>
        <v>84317.665657342193</v>
      </c>
      <c r="S45" s="22">
        <f t="shared" si="4"/>
        <v>0.24360188080576153</v>
      </c>
      <c r="T45" s="21">
        <f t="shared" si="5"/>
        <v>0.61534868391249331</v>
      </c>
    </row>
    <row r="46" spans="1:20" x14ac:dyDescent="0.3">
      <c r="A46" s="7" t="s">
        <v>52</v>
      </c>
      <c r="B46" s="7" t="s">
        <v>260</v>
      </c>
      <c r="C46" s="19">
        <v>7076031</v>
      </c>
      <c r="D46" s="15">
        <v>0.17</v>
      </c>
      <c r="E46" s="18">
        <f t="shared" si="6"/>
        <v>5873105.7299999995</v>
      </c>
      <c r="F46" s="19">
        <f>Cost_Drivers!B46*Finance_Assumptions!$B$4</f>
        <v>83300</v>
      </c>
      <c r="G46" s="19">
        <f>Cost_Drivers!C46*Finance_Assumptions!$B$5</f>
        <v>1862400</v>
      </c>
      <c r="H46" s="19">
        <f>Cost_Drivers!D46*Finance_Assumptions!$B$6</f>
        <v>371250</v>
      </c>
      <c r="I46" s="19">
        <f>Cost_Drivers!E46*Finance_Assumptions!$B$7</f>
        <v>609120</v>
      </c>
      <c r="J46" s="19">
        <f t="shared" si="7"/>
        <v>2926070</v>
      </c>
      <c r="K46" s="19">
        <f t="shared" si="0"/>
        <v>1058483.1473721322</v>
      </c>
      <c r="L46" s="24">
        <f t="shared" si="1"/>
        <v>9.0853761993641077E-3</v>
      </c>
      <c r="M46" s="20">
        <f t="shared" si="8"/>
        <v>363415.04797456431</v>
      </c>
      <c r="N46" s="7">
        <f>Cost_Drivers!B46+Cost_Drivers!C46+Cost_Drivers!E46</f>
        <v>4667</v>
      </c>
      <c r="P46" s="7">
        <f t="shared" si="2"/>
        <v>1.7376702484939197E-2</v>
      </c>
      <c r="Q46" s="20">
        <f t="shared" si="9"/>
        <v>695068.09939756792</v>
      </c>
      <c r="R46" s="19">
        <f t="shared" si="3"/>
        <v>1888552.5826278673</v>
      </c>
      <c r="S46" s="22">
        <f t="shared" si="4"/>
        <v>0.32155943881294086</v>
      </c>
      <c r="T46" s="21">
        <f t="shared" si="5"/>
        <v>0.49821510705205713</v>
      </c>
    </row>
    <row r="47" spans="1:20" x14ac:dyDescent="0.3">
      <c r="A47" s="7" t="s">
        <v>53</v>
      </c>
      <c r="B47" s="7" t="s">
        <v>259</v>
      </c>
      <c r="C47" s="19">
        <v>1266024</v>
      </c>
      <c r="D47" s="15">
        <v>0.12</v>
      </c>
      <c r="E47" s="18">
        <f t="shared" si="6"/>
        <v>1114101.1200000001</v>
      </c>
      <c r="F47" s="19">
        <f>Cost_Drivers!B47*Finance_Assumptions!$B$4</f>
        <v>35000</v>
      </c>
      <c r="G47" s="19">
        <f>Cost_Drivers!C47*Finance_Assumptions!$B$5</f>
        <v>448000</v>
      </c>
      <c r="H47" s="19">
        <f>Cost_Drivers!D47*Finance_Assumptions!$B$6</f>
        <v>95750</v>
      </c>
      <c r="I47" s="19">
        <f>Cost_Drivers!E47*Finance_Assumptions!$B$7</f>
        <v>27540</v>
      </c>
      <c r="J47" s="19">
        <f t="shared" si="7"/>
        <v>606290</v>
      </c>
      <c r="K47" s="19">
        <f t="shared" si="0"/>
        <v>140872.57172651179</v>
      </c>
      <c r="L47" s="24">
        <f t="shared" si="1"/>
        <v>1.7234540402753652E-3</v>
      </c>
      <c r="M47" s="20">
        <f t="shared" si="8"/>
        <v>68938.161611014613</v>
      </c>
      <c r="N47" s="7">
        <f>Cost_Drivers!B47+Cost_Drivers!C47+Cost_Drivers!E47</f>
        <v>483</v>
      </c>
      <c r="P47" s="7">
        <f t="shared" si="2"/>
        <v>1.7983602528874292E-3</v>
      </c>
      <c r="Q47" s="20">
        <f t="shared" si="9"/>
        <v>71934.410115497172</v>
      </c>
      <c r="R47" s="19">
        <f t="shared" si="3"/>
        <v>366938.5482734883</v>
      </c>
      <c r="S47" s="22">
        <f t="shared" si="4"/>
        <v>0.3293583873908037</v>
      </c>
      <c r="T47" s="21">
        <f t="shared" si="5"/>
        <v>0.54419656269621197</v>
      </c>
    </row>
    <row r="48" spans="1:20" x14ac:dyDescent="0.3">
      <c r="A48" s="7" t="s">
        <v>54</v>
      </c>
      <c r="B48" s="7" t="s">
        <v>260</v>
      </c>
      <c r="C48" s="19">
        <v>11224736</v>
      </c>
      <c r="D48" s="15">
        <v>0.19</v>
      </c>
      <c r="E48" s="18">
        <f t="shared" si="6"/>
        <v>9092036.1600000001</v>
      </c>
      <c r="F48" s="19">
        <f>Cost_Drivers!B48*Finance_Assumptions!$B$4</f>
        <v>138600</v>
      </c>
      <c r="G48" s="19">
        <f>Cost_Drivers!C48*Finance_Assumptions!$B$5</f>
        <v>1168000</v>
      </c>
      <c r="H48" s="19">
        <f>Cost_Drivers!D48*Finance_Assumptions!$B$6</f>
        <v>347750</v>
      </c>
      <c r="I48" s="19">
        <f>Cost_Drivers!E48*Finance_Assumptions!$B$7</f>
        <v>460260</v>
      </c>
      <c r="J48" s="19">
        <f t="shared" si="7"/>
        <v>2114610</v>
      </c>
      <c r="K48" s="19">
        <f t="shared" si="0"/>
        <v>1081625.3369323888</v>
      </c>
      <c r="L48" s="24">
        <f t="shared" si="1"/>
        <v>1.4064887085188205E-2</v>
      </c>
      <c r="M48" s="20">
        <f t="shared" si="8"/>
        <v>562595.48340752826</v>
      </c>
      <c r="N48" s="7">
        <f>Cost_Drivers!B48+Cost_Drivers!C48+Cost_Drivers!E48</f>
        <v>3485</v>
      </c>
      <c r="P48" s="7">
        <f t="shared" si="2"/>
        <v>1.2975746338121513E-2</v>
      </c>
      <c r="Q48" s="20">
        <f t="shared" si="9"/>
        <v>519029.85352486052</v>
      </c>
      <c r="R48" s="19">
        <f t="shared" si="3"/>
        <v>5895800.8230676111</v>
      </c>
      <c r="S48" s="22">
        <f t="shared" si="4"/>
        <v>0.64845769630854733</v>
      </c>
      <c r="T48" s="21">
        <f t="shared" si="5"/>
        <v>0.23257826550483054</v>
      </c>
    </row>
    <row r="49" spans="1:20" x14ac:dyDescent="0.3">
      <c r="A49" s="7" t="s">
        <v>55</v>
      </c>
      <c r="B49" s="7" t="s">
        <v>258</v>
      </c>
      <c r="C49" s="19">
        <v>393860</v>
      </c>
      <c r="D49" s="15">
        <v>0.02</v>
      </c>
      <c r="E49" s="18">
        <f t="shared" si="6"/>
        <v>385982.8</v>
      </c>
      <c r="F49" s="19">
        <f>Cost_Drivers!B49*Finance_Assumptions!$B$4</f>
        <v>19600</v>
      </c>
      <c r="G49" s="19">
        <f>Cost_Drivers!C49*Finance_Assumptions!$B$5</f>
        <v>158400</v>
      </c>
      <c r="H49" s="19">
        <f>Cost_Drivers!D49*Finance_Assumptions!$B$6</f>
        <v>19250</v>
      </c>
      <c r="I49" s="19">
        <f>Cost_Drivers!E49*Finance_Assumptions!$B$7</f>
        <v>13140</v>
      </c>
      <c r="J49" s="19">
        <f t="shared" si="7"/>
        <v>210390</v>
      </c>
      <c r="K49" s="19">
        <f t="shared" si="0"/>
        <v>53670.283965070121</v>
      </c>
      <c r="L49" s="24">
        <f t="shared" si="1"/>
        <v>5.9709446853154424E-4</v>
      </c>
      <c r="M49" s="20">
        <f t="shared" si="8"/>
        <v>23883.778741261769</v>
      </c>
      <c r="N49" s="7">
        <f>Cost_Drivers!B49+Cost_Drivers!C49+Cost_Drivers!E49</f>
        <v>200</v>
      </c>
      <c r="P49" s="7">
        <f t="shared" si="2"/>
        <v>7.4466263059520886E-4</v>
      </c>
      <c r="Q49" s="20">
        <f t="shared" si="9"/>
        <v>29786.505223808355</v>
      </c>
      <c r="R49" s="19">
        <f t="shared" si="3"/>
        <v>121922.51603492987</v>
      </c>
      <c r="S49" s="22">
        <f t="shared" si="4"/>
        <v>0.31587551578705025</v>
      </c>
      <c r="T49" s="21">
        <f t="shared" si="5"/>
        <v>0.54507610183666222</v>
      </c>
    </row>
    <row r="50" spans="1:20" x14ac:dyDescent="0.3">
      <c r="A50" s="7" t="s">
        <v>56</v>
      </c>
      <c r="B50" s="7" t="s">
        <v>260</v>
      </c>
      <c r="C50" s="19">
        <v>11461036</v>
      </c>
      <c r="D50" s="15">
        <v>0.18</v>
      </c>
      <c r="E50" s="18">
        <f t="shared" si="6"/>
        <v>9398049.5200000014</v>
      </c>
      <c r="F50" s="19">
        <f>Cost_Drivers!B50*Finance_Assumptions!$B$4</f>
        <v>129500</v>
      </c>
      <c r="G50" s="19">
        <f>Cost_Drivers!C50*Finance_Assumptions!$B$5</f>
        <v>880000</v>
      </c>
      <c r="H50" s="19">
        <f>Cost_Drivers!D50*Finance_Assumptions!$B$6</f>
        <v>395750</v>
      </c>
      <c r="I50" s="19">
        <f>Cost_Drivers!E50*Finance_Assumptions!$B$7</f>
        <v>503640</v>
      </c>
      <c r="J50" s="19">
        <f t="shared" si="7"/>
        <v>1908890</v>
      </c>
      <c r="K50" s="19">
        <f t="shared" si="0"/>
        <v>1107709.5413771211</v>
      </c>
      <c r="L50" s="24">
        <f t="shared" si="1"/>
        <v>1.453827316496366E-2</v>
      </c>
      <c r="M50" s="20">
        <f t="shared" si="8"/>
        <v>581530.92659854644</v>
      </c>
      <c r="N50" s="7">
        <f>Cost_Drivers!B50+Cost_Drivers!C50+Cost_Drivers!E50</f>
        <v>3533</v>
      </c>
      <c r="P50" s="7">
        <f t="shared" si="2"/>
        <v>1.3154465369464364E-2</v>
      </c>
      <c r="Q50" s="20">
        <f t="shared" si="9"/>
        <v>526178.61477857456</v>
      </c>
      <c r="R50" s="19">
        <f t="shared" si="3"/>
        <v>6381449.9786228798</v>
      </c>
      <c r="S50" s="22">
        <f t="shared" si="4"/>
        <v>0.67901855220516849</v>
      </c>
      <c r="T50" s="21">
        <f t="shared" si="5"/>
        <v>0.2031155502998456</v>
      </c>
    </row>
    <row r="51" spans="1:20" x14ac:dyDescent="0.3">
      <c r="A51" s="7" t="s">
        <v>57</v>
      </c>
      <c r="B51" s="7" t="s">
        <v>259</v>
      </c>
      <c r="C51" s="19">
        <v>832608</v>
      </c>
      <c r="D51" s="15">
        <v>0.02</v>
      </c>
      <c r="E51" s="18">
        <f t="shared" si="6"/>
        <v>815955.84</v>
      </c>
      <c r="F51" s="19">
        <f>Cost_Drivers!B51*Finance_Assumptions!$B$4</f>
        <v>34300</v>
      </c>
      <c r="G51" s="19">
        <f>Cost_Drivers!C51*Finance_Assumptions!$B$5</f>
        <v>123200</v>
      </c>
      <c r="H51" s="19">
        <f>Cost_Drivers!D51*Finance_Assumptions!$B$6</f>
        <v>45500</v>
      </c>
      <c r="I51" s="19">
        <f>Cost_Drivers!E51*Finance_Assumptions!$B$7</f>
        <v>39240</v>
      </c>
      <c r="J51" s="19">
        <f t="shared" si="7"/>
        <v>242240</v>
      </c>
      <c r="K51" s="19">
        <f t="shared" si="0"/>
        <v>101722.36713506584</v>
      </c>
      <c r="L51" s="24">
        <f t="shared" si="1"/>
        <v>1.2622394537528867E-3</v>
      </c>
      <c r="M51" s="20">
        <f t="shared" si="8"/>
        <v>50489.578150115471</v>
      </c>
      <c r="N51" s="7">
        <f>Cost_Drivers!B51+Cost_Drivers!C51+Cost_Drivers!E51</f>
        <v>344</v>
      </c>
      <c r="P51" s="7">
        <f t="shared" si="2"/>
        <v>1.2808197246237591E-3</v>
      </c>
      <c r="Q51" s="20">
        <f t="shared" si="9"/>
        <v>51232.788984950363</v>
      </c>
      <c r="R51" s="19">
        <f t="shared" si="3"/>
        <v>471993.47286493413</v>
      </c>
      <c r="S51" s="22">
        <f t="shared" si="4"/>
        <v>0.5784546782151031</v>
      </c>
      <c r="T51" s="21">
        <f t="shared" si="5"/>
        <v>0.29687881148077816</v>
      </c>
    </row>
    <row r="52" spans="1:20" x14ac:dyDescent="0.3">
      <c r="A52" s="7" t="s">
        <v>58</v>
      </c>
      <c r="B52" s="7" t="s">
        <v>258</v>
      </c>
      <c r="C52" s="19">
        <v>564683</v>
      </c>
      <c r="D52" s="15">
        <v>7.0000000000000007E-2</v>
      </c>
      <c r="E52" s="18">
        <f t="shared" si="6"/>
        <v>525155.18999999994</v>
      </c>
      <c r="F52" s="19">
        <f>Cost_Drivers!B52*Finance_Assumptions!$B$4</f>
        <v>9800</v>
      </c>
      <c r="G52" s="19">
        <f>Cost_Drivers!C52*Finance_Assumptions!$B$5</f>
        <v>131200</v>
      </c>
      <c r="H52" s="19">
        <f>Cost_Drivers!D52*Finance_Assumptions!$B$6</f>
        <v>17000</v>
      </c>
      <c r="I52" s="19">
        <f>Cost_Drivers!E52*Finance_Assumptions!$B$7</f>
        <v>6840</v>
      </c>
      <c r="J52" s="19">
        <f t="shared" si="7"/>
        <v>164840</v>
      </c>
      <c r="K52" s="19">
        <f t="shared" si="0"/>
        <v>52452.422968278377</v>
      </c>
      <c r="L52" s="24">
        <f t="shared" si="1"/>
        <v>8.1238661170816959E-4</v>
      </c>
      <c r="M52" s="20">
        <f t="shared" si="8"/>
        <v>32495.464468326783</v>
      </c>
      <c r="N52" s="7">
        <f>Cost_Drivers!B52+Cost_Drivers!C52+Cost_Drivers!E52</f>
        <v>134</v>
      </c>
      <c r="P52" s="7">
        <f t="shared" si="2"/>
        <v>4.9892396249878995E-4</v>
      </c>
      <c r="Q52" s="20">
        <f t="shared" si="9"/>
        <v>19956.958499951597</v>
      </c>
      <c r="R52" s="19">
        <f t="shared" si="3"/>
        <v>307862.76703172154</v>
      </c>
      <c r="S52" s="22">
        <f t="shared" si="4"/>
        <v>0.58623198036321711</v>
      </c>
      <c r="T52" s="21">
        <f t="shared" si="5"/>
        <v>0.31388816703877576</v>
      </c>
    </row>
    <row r="53" spans="1:20" x14ac:dyDescent="0.3">
      <c r="A53" s="7" t="s">
        <v>59</v>
      </c>
      <c r="B53" s="7" t="s">
        <v>260</v>
      </c>
      <c r="C53" s="19">
        <v>7654733</v>
      </c>
      <c r="D53" s="15">
        <v>0.25</v>
      </c>
      <c r="E53" s="18">
        <f t="shared" si="6"/>
        <v>5741049.75</v>
      </c>
      <c r="F53" s="19">
        <f>Cost_Drivers!B53*Finance_Assumptions!$B$4</f>
        <v>119700</v>
      </c>
      <c r="G53" s="19">
        <f>Cost_Drivers!C53*Finance_Assumptions!$B$5</f>
        <v>734400</v>
      </c>
      <c r="H53" s="19">
        <f>Cost_Drivers!D53*Finance_Assumptions!$B$6</f>
        <v>317750</v>
      </c>
      <c r="I53" s="19">
        <f>Cost_Drivers!E53*Finance_Assumptions!$B$7</f>
        <v>399240</v>
      </c>
      <c r="J53" s="19">
        <f t="shared" si="7"/>
        <v>1571090</v>
      </c>
      <c r="K53" s="19">
        <f t="shared" si="0"/>
        <v>779403.54465488787</v>
      </c>
      <c r="L53" s="24">
        <f t="shared" si="1"/>
        <v>8.8810927566964244E-3</v>
      </c>
      <c r="M53" s="20">
        <f t="shared" si="8"/>
        <v>355243.71026785695</v>
      </c>
      <c r="N53" s="7">
        <f>Cost_Drivers!B53+Cost_Drivers!C53+Cost_Drivers!E53</f>
        <v>2848</v>
      </c>
      <c r="P53" s="7">
        <f t="shared" si="2"/>
        <v>1.0603995859675775E-2</v>
      </c>
      <c r="Q53" s="20">
        <f t="shared" si="9"/>
        <v>424159.83438703098</v>
      </c>
      <c r="R53" s="19">
        <f t="shared" si="3"/>
        <v>3390556.2053451119</v>
      </c>
      <c r="S53" s="22">
        <f t="shared" si="4"/>
        <v>0.59058122695158877</v>
      </c>
      <c r="T53" s="21">
        <f t="shared" si="5"/>
        <v>0.27365901157710748</v>
      </c>
    </row>
    <row r="54" spans="1:20" x14ac:dyDescent="0.3">
      <c r="A54" s="7" t="s">
        <v>60</v>
      </c>
      <c r="B54" s="7" t="s">
        <v>259</v>
      </c>
      <c r="C54" s="19">
        <v>2431645</v>
      </c>
      <c r="D54" s="15">
        <v>0.2</v>
      </c>
      <c r="E54" s="18">
        <f t="shared" si="6"/>
        <v>1945316</v>
      </c>
      <c r="F54" s="19">
        <f>Cost_Drivers!B54*Finance_Assumptions!$B$4</f>
        <v>25900</v>
      </c>
      <c r="G54" s="19">
        <f>Cost_Drivers!C54*Finance_Assumptions!$B$5</f>
        <v>358400</v>
      </c>
      <c r="H54" s="19">
        <f>Cost_Drivers!D54*Finance_Assumptions!$B$6</f>
        <v>80750</v>
      </c>
      <c r="I54" s="19">
        <f>Cost_Drivers!E54*Finance_Assumptions!$B$7</f>
        <v>73980</v>
      </c>
      <c r="J54" s="19">
        <f t="shared" si="7"/>
        <v>539030</v>
      </c>
      <c r="K54" s="19">
        <f t="shared" si="0"/>
        <v>220454.59362229862</v>
      </c>
      <c r="L54" s="24">
        <f t="shared" si="1"/>
        <v>3.0092984017575639E-3</v>
      </c>
      <c r="M54" s="20">
        <f t="shared" si="8"/>
        <v>120371.93607030256</v>
      </c>
      <c r="N54" s="7">
        <f>Cost_Drivers!B54+Cost_Drivers!C54+Cost_Drivers!E54</f>
        <v>672</v>
      </c>
      <c r="P54" s="7">
        <f t="shared" si="2"/>
        <v>2.5020664387999016E-3</v>
      </c>
      <c r="Q54" s="20">
        <f t="shared" si="9"/>
        <v>100082.65755199606</v>
      </c>
      <c r="R54" s="19">
        <f t="shared" si="3"/>
        <v>1185831.4063777013</v>
      </c>
      <c r="S54" s="22">
        <f t="shared" si="4"/>
        <v>0.60958291937027265</v>
      </c>
      <c r="T54" s="21">
        <f t="shared" si="5"/>
        <v>0.27709122836598271</v>
      </c>
    </row>
    <row r="55" spans="1:20" x14ac:dyDescent="0.3">
      <c r="A55" s="7" t="s">
        <v>61</v>
      </c>
      <c r="B55" s="7" t="s">
        <v>259</v>
      </c>
      <c r="C55" s="19">
        <v>1783582</v>
      </c>
      <c r="D55" s="15">
        <v>0.15</v>
      </c>
      <c r="E55" s="18">
        <f t="shared" si="6"/>
        <v>1516044.7</v>
      </c>
      <c r="F55" s="19">
        <f>Cost_Drivers!B55*Finance_Assumptions!$B$4</f>
        <v>27300</v>
      </c>
      <c r="G55" s="19">
        <f>Cost_Drivers!C55*Finance_Assumptions!$B$5</f>
        <v>331200</v>
      </c>
      <c r="H55" s="19">
        <f>Cost_Drivers!D55*Finance_Assumptions!$B$6</f>
        <v>22250</v>
      </c>
      <c r="I55" s="19">
        <f>Cost_Drivers!E55*Finance_Assumptions!$B$7</f>
        <v>56160</v>
      </c>
      <c r="J55" s="19">
        <f t="shared" si="7"/>
        <v>436910</v>
      </c>
      <c r="K55" s="19">
        <f t="shared" si="0"/>
        <v>176913.90838549816</v>
      </c>
      <c r="L55" s="24">
        <f t="shared" si="1"/>
        <v>2.3452389702768215E-3</v>
      </c>
      <c r="M55" s="20">
        <f t="shared" si="8"/>
        <v>93809.558811072857</v>
      </c>
      <c r="N55" s="7">
        <f>Cost_Drivers!B55+Cost_Drivers!C55+Cost_Drivers!E55</f>
        <v>558</v>
      </c>
      <c r="P55" s="7">
        <f t="shared" si="2"/>
        <v>2.0776087393606325E-3</v>
      </c>
      <c r="Q55" s="20">
        <f t="shared" si="9"/>
        <v>83104.349574425301</v>
      </c>
      <c r="R55" s="19">
        <f t="shared" si="3"/>
        <v>902220.79161450174</v>
      </c>
      <c r="S55" s="22">
        <f t="shared" si="4"/>
        <v>0.59511490104117759</v>
      </c>
      <c r="T55" s="21">
        <f t="shared" si="5"/>
        <v>0.2881907109994844</v>
      </c>
    </row>
    <row r="56" spans="1:20" x14ac:dyDescent="0.3">
      <c r="A56" s="7" t="s">
        <v>62</v>
      </c>
      <c r="B56" s="7" t="s">
        <v>258</v>
      </c>
      <c r="C56" s="19">
        <v>408414</v>
      </c>
      <c r="D56" s="15">
        <v>0.09</v>
      </c>
      <c r="E56" s="18">
        <f t="shared" si="6"/>
        <v>371656.74</v>
      </c>
      <c r="F56" s="19">
        <f>Cost_Drivers!B56*Finance_Assumptions!$B$4</f>
        <v>4900</v>
      </c>
      <c r="G56" s="19">
        <f>Cost_Drivers!C56*Finance_Assumptions!$B$5</f>
        <v>155200</v>
      </c>
      <c r="H56" s="19">
        <f>Cost_Drivers!D56*Finance_Assumptions!$B$6</f>
        <v>18250</v>
      </c>
      <c r="I56" s="19">
        <f>Cost_Drivers!E56*Finance_Assumptions!$B$7</f>
        <v>5400</v>
      </c>
      <c r="J56" s="19">
        <f t="shared" si="7"/>
        <v>183750</v>
      </c>
      <c r="K56" s="19">
        <f t="shared" si="0"/>
        <v>42954.271711469446</v>
      </c>
      <c r="L56" s="24">
        <f t="shared" si="1"/>
        <v>5.7493283028794626E-4</v>
      </c>
      <c r="M56" s="20">
        <f t="shared" si="8"/>
        <v>22997.313211517849</v>
      </c>
      <c r="N56" s="7">
        <f>Cost_Drivers!B56+Cost_Drivers!C56+Cost_Drivers!E56</f>
        <v>134</v>
      </c>
      <c r="P56" s="7">
        <f t="shared" si="2"/>
        <v>4.9892396249878995E-4</v>
      </c>
      <c r="Q56" s="20">
        <f t="shared" si="9"/>
        <v>19956.958499951597</v>
      </c>
      <c r="R56" s="19">
        <f t="shared" si="3"/>
        <v>144952.46828853054</v>
      </c>
      <c r="S56" s="22">
        <f t="shared" si="4"/>
        <v>0.39001705791352131</v>
      </c>
      <c r="T56" s="21">
        <f t="shared" si="5"/>
        <v>0.49440782373541781</v>
      </c>
    </row>
    <row r="57" spans="1:20" x14ac:dyDescent="0.3">
      <c r="A57" s="7" t="s">
        <v>63</v>
      </c>
      <c r="B57" s="7" t="s">
        <v>258</v>
      </c>
      <c r="C57" s="19">
        <v>302114</v>
      </c>
      <c r="D57" s="15">
        <v>0</v>
      </c>
      <c r="E57" s="18">
        <f t="shared" si="6"/>
        <v>302114</v>
      </c>
      <c r="F57" s="19">
        <f>Cost_Drivers!B57*Finance_Assumptions!$B$4</f>
        <v>25200</v>
      </c>
      <c r="G57" s="19">
        <f>Cost_Drivers!C57*Finance_Assumptions!$B$5</f>
        <v>86400</v>
      </c>
      <c r="H57" s="19">
        <f>Cost_Drivers!D57*Finance_Assumptions!$B$6</f>
        <v>7750</v>
      </c>
      <c r="I57" s="19">
        <f>Cost_Drivers!E57*Finance_Assumptions!$B$7</f>
        <v>6480</v>
      </c>
      <c r="J57" s="19">
        <f t="shared" si="7"/>
        <v>125830</v>
      </c>
      <c r="K57" s="19">
        <f t="shared" si="0"/>
        <v>37459.657540161556</v>
      </c>
      <c r="L57" s="24">
        <f t="shared" si="1"/>
        <v>4.6735398122905726E-4</v>
      </c>
      <c r="M57" s="20">
        <f t="shared" si="8"/>
        <v>18694.159249162291</v>
      </c>
      <c r="N57" s="7">
        <f>Cost_Drivers!B57+Cost_Drivers!C57+Cost_Drivers!E57</f>
        <v>126</v>
      </c>
      <c r="P57" s="7">
        <f t="shared" si="2"/>
        <v>4.6913745727498156E-4</v>
      </c>
      <c r="Q57" s="20">
        <f t="shared" si="9"/>
        <v>18765.498290999261</v>
      </c>
      <c r="R57" s="19">
        <f t="shared" si="3"/>
        <v>138824.34245983843</v>
      </c>
      <c r="S57" s="22">
        <f t="shared" si="4"/>
        <v>0.45950979583812213</v>
      </c>
      <c r="T57" s="21">
        <f t="shared" si="5"/>
        <v>0.41649840788576498</v>
      </c>
    </row>
    <row r="58" spans="1:20" x14ac:dyDescent="0.3">
      <c r="A58" s="7" t="s">
        <v>64</v>
      </c>
      <c r="B58" s="7" t="s">
        <v>258</v>
      </c>
      <c r="C58" s="19">
        <v>467017</v>
      </c>
      <c r="D58" s="15">
        <v>0.03</v>
      </c>
      <c r="E58" s="18">
        <f t="shared" si="6"/>
        <v>453006.49</v>
      </c>
      <c r="F58" s="19">
        <f>Cost_Drivers!B58*Finance_Assumptions!$B$4</f>
        <v>19600</v>
      </c>
      <c r="G58" s="19">
        <f>Cost_Drivers!C58*Finance_Assumptions!$B$5</f>
        <v>73600</v>
      </c>
      <c r="H58" s="19">
        <f>Cost_Drivers!D58*Finance_Assumptions!$B$6</f>
        <v>11500</v>
      </c>
      <c r="I58" s="19">
        <f>Cost_Drivers!E58*Finance_Assumptions!$B$7</f>
        <v>7560</v>
      </c>
      <c r="J58" s="19">
        <f t="shared" si="7"/>
        <v>112260</v>
      </c>
      <c r="K58" s="19">
        <f t="shared" si="0"/>
        <v>45307.23238145771</v>
      </c>
      <c r="L58" s="24">
        <f t="shared" si="1"/>
        <v>7.0077648379122156E-4</v>
      </c>
      <c r="M58" s="20">
        <f t="shared" si="8"/>
        <v>28031.059351648863</v>
      </c>
      <c r="N58" s="7">
        <f>Cost_Drivers!B58+Cost_Drivers!C58+Cost_Drivers!E58</f>
        <v>116</v>
      </c>
      <c r="P58" s="7">
        <f t="shared" si="2"/>
        <v>4.3190432574522115E-4</v>
      </c>
      <c r="Q58" s="20">
        <f t="shared" si="9"/>
        <v>17276.173029808848</v>
      </c>
      <c r="R58" s="19">
        <f t="shared" si="3"/>
        <v>295439.25761854229</v>
      </c>
      <c r="S58" s="22">
        <f t="shared" si="4"/>
        <v>0.65217444813769065</v>
      </c>
      <c r="T58" s="21">
        <f t="shared" si="5"/>
        <v>0.24781101921961426</v>
      </c>
    </row>
    <row r="59" spans="1:20" x14ac:dyDescent="0.3">
      <c r="A59" s="7" t="s">
        <v>65</v>
      </c>
      <c r="B59" s="7" t="s">
        <v>259</v>
      </c>
      <c r="C59" s="19">
        <v>1521067</v>
      </c>
      <c r="D59" s="15">
        <v>0.14000000000000001</v>
      </c>
      <c r="E59" s="18">
        <f t="shared" si="6"/>
        <v>1308117.6199999999</v>
      </c>
      <c r="F59" s="19">
        <f>Cost_Drivers!B59*Finance_Assumptions!$B$4</f>
        <v>30800</v>
      </c>
      <c r="G59" s="19">
        <f>Cost_Drivers!C59*Finance_Assumptions!$B$5</f>
        <v>132800</v>
      </c>
      <c r="H59" s="19">
        <f>Cost_Drivers!D59*Finance_Assumptions!$B$6</f>
        <v>36750</v>
      </c>
      <c r="I59" s="19">
        <f>Cost_Drivers!E59*Finance_Assumptions!$B$7</f>
        <v>59580</v>
      </c>
      <c r="J59" s="19">
        <f t="shared" si="7"/>
        <v>259930</v>
      </c>
      <c r="K59" s="19">
        <f t="shared" si="0"/>
        <v>149154.57890945228</v>
      </c>
      <c r="L59" s="24">
        <f t="shared" si="1"/>
        <v>2.0235870486732788E-3</v>
      </c>
      <c r="M59" s="20">
        <f t="shared" si="8"/>
        <v>80943.481946931148</v>
      </c>
      <c r="N59" s="7">
        <f>Cost_Drivers!B59+Cost_Drivers!C59+Cost_Drivers!E59</f>
        <v>458</v>
      </c>
      <c r="P59" s="7">
        <f t="shared" si="2"/>
        <v>1.7052774240630282E-3</v>
      </c>
      <c r="Q59" s="20">
        <f t="shared" si="9"/>
        <v>68211.096962521129</v>
      </c>
      <c r="R59" s="19">
        <f t="shared" si="3"/>
        <v>899033.04109054757</v>
      </c>
      <c r="S59" s="22">
        <f t="shared" si="4"/>
        <v>0.68727232730841714</v>
      </c>
      <c r="T59" s="21">
        <f t="shared" si="5"/>
        <v>0.19870537329815954</v>
      </c>
    </row>
    <row r="60" spans="1:20" x14ac:dyDescent="0.3">
      <c r="A60" s="7" t="s">
        <v>66</v>
      </c>
      <c r="B60" s="7" t="s">
        <v>260</v>
      </c>
      <c r="C60" s="19">
        <v>5873953</v>
      </c>
      <c r="D60" s="15">
        <v>0.19</v>
      </c>
      <c r="E60" s="18">
        <f t="shared" si="6"/>
        <v>4757901.9300000006</v>
      </c>
      <c r="F60" s="19">
        <f>Cost_Drivers!B60*Finance_Assumptions!$B$4</f>
        <v>68600</v>
      </c>
      <c r="G60" s="19">
        <f>Cost_Drivers!C60*Finance_Assumptions!$B$5</f>
        <v>1153600</v>
      </c>
      <c r="H60" s="19">
        <f>Cost_Drivers!D60*Finance_Assumptions!$B$6</f>
        <v>353750</v>
      </c>
      <c r="I60" s="19">
        <f>Cost_Drivers!E60*Finance_Assumptions!$B$7</f>
        <v>443160</v>
      </c>
      <c r="J60" s="19">
        <f t="shared" si="7"/>
        <v>2019110</v>
      </c>
      <c r="K60" s="19">
        <f t="shared" si="0"/>
        <v>783056.27311265608</v>
      </c>
      <c r="L60" s="24">
        <f t="shared" si="1"/>
        <v>7.360216372902002E-3</v>
      </c>
      <c r="M60" s="20">
        <f t="shared" si="8"/>
        <v>294408.65491608006</v>
      </c>
      <c r="N60" s="7">
        <f>Cost_Drivers!B60+Cost_Drivers!C60+Cost_Drivers!E60</f>
        <v>3281</v>
      </c>
      <c r="P60" s="7">
        <f t="shared" si="2"/>
        <v>1.2216190454914401E-2</v>
      </c>
      <c r="Q60" s="20">
        <f t="shared" si="9"/>
        <v>488647.61819657608</v>
      </c>
      <c r="R60" s="19">
        <f t="shared" si="3"/>
        <v>1955735.6568873446</v>
      </c>
      <c r="S60" s="22">
        <f t="shared" si="4"/>
        <v>0.4110500144098902</v>
      </c>
      <c r="T60" s="21">
        <f t="shared" si="5"/>
        <v>0.42436982302407394</v>
      </c>
    </row>
    <row r="61" spans="1:20" x14ac:dyDescent="0.3">
      <c r="A61" s="7" t="s">
        <v>67</v>
      </c>
      <c r="B61" s="7" t="s">
        <v>260</v>
      </c>
      <c r="C61" s="19">
        <v>6083199</v>
      </c>
      <c r="D61" s="15">
        <v>0.12</v>
      </c>
      <c r="E61" s="18">
        <f t="shared" si="6"/>
        <v>5353215.12</v>
      </c>
      <c r="F61" s="19">
        <f>Cost_Drivers!B61*Finance_Assumptions!$B$4</f>
        <v>95900</v>
      </c>
      <c r="G61" s="19">
        <f>Cost_Drivers!C61*Finance_Assumptions!$B$5</f>
        <v>1115200</v>
      </c>
      <c r="H61" s="19">
        <f>Cost_Drivers!D61*Finance_Assumptions!$B$6</f>
        <v>288250</v>
      </c>
      <c r="I61" s="19">
        <f>Cost_Drivers!E61*Finance_Assumptions!$B$7</f>
        <v>276840</v>
      </c>
      <c r="J61" s="19">
        <f t="shared" si="7"/>
        <v>1776190</v>
      </c>
      <c r="K61" s="19">
        <f t="shared" si="0"/>
        <v>684513.29625586723</v>
      </c>
      <c r="L61" s="24">
        <f t="shared" si="1"/>
        <v>8.2811336075375042E-3</v>
      </c>
      <c r="M61" s="20">
        <f t="shared" si="8"/>
        <v>331245.34430150018</v>
      </c>
      <c r="N61" s="7">
        <f>Cost_Drivers!B61+Cost_Drivers!C61+Cost_Drivers!E61</f>
        <v>2372</v>
      </c>
      <c r="P61" s="7">
        <f t="shared" si="2"/>
        <v>8.8316987988591774E-3</v>
      </c>
      <c r="Q61" s="20">
        <f t="shared" si="9"/>
        <v>353267.9519543671</v>
      </c>
      <c r="R61" s="19">
        <f t="shared" si="3"/>
        <v>2892511.8237441331</v>
      </c>
      <c r="S61" s="22">
        <f t="shared" si="4"/>
        <v>0.54033169953090421</v>
      </c>
      <c r="T61" s="21">
        <f t="shared" si="5"/>
        <v>0.33179873406619237</v>
      </c>
    </row>
    <row r="62" spans="1:20" x14ac:dyDescent="0.3">
      <c r="A62" s="7" t="s">
        <v>68</v>
      </c>
      <c r="B62" s="7" t="s">
        <v>258</v>
      </c>
      <c r="C62" s="19">
        <v>599788</v>
      </c>
      <c r="D62" s="15">
        <v>0.05</v>
      </c>
      <c r="E62" s="18">
        <f t="shared" si="6"/>
        <v>569798.6</v>
      </c>
      <c r="F62" s="19">
        <f>Cost_Drivers!B62*Finance_Assumptions!$B$4</f>
        <v>16100</v>
      </c>
      <c r="G62" s="19">
        <f>Cost_Drivers!C62*Finance_Assumptions!$B$5</f>
        <v>171200</v>
      </c>
      <c r="H62" s="19">
        <f>Cost_Drivers!D62*Finance_Assumptions!$B$6</f>
        <v>21750</v>
      </c>
      <c r="I62" s="19">
        <f>Cost_Drivers!E62*Finance_Assumptions!$B$7</f>
        <v>18000</v>
      </c>
      <c r="J62" s="19">
        <f t="shared" si="7"/>
        <v>227050</v>
      </c>
      <c r="K62" s="19">
        <f t="shared" si="0"/>
        <v>69512.382886636187</v>
      </c>
      <c r="L62" s="24">
        <f t="shared" si="1"/>
        <v>8.8144754698141453E-4</v>
      </c>
      <c r="M62" s="20">
        <f t="shared" si="8"/>
        <v>35257.901879256584</v>
      </c>
      <c r="N62" s="7">
        <f>Cost_Drivers!B62+Cost_Drivers!C62+Cost_Drivers!E62</f>
        <v>230</v>
      </c>
      <c r="P62" s="7">
        <f t="shared" si="2"/>
        <v>8.5636202518449018E-4</v>
      </c>
      <c r="Q62" s="20">
        <f t="shared" si="9"/>
        <v>34254.481007379611</v>
      </c>
      <c r="R62" s="19">
        <f t="shared" si="3"/>
        <v>273236.21711336379</v>
      </c>
      <c r="S62" s="22">
        <f t="shared" si="4"/>
        <v>0.47953121877337679</v>
      </c>
      <c r="T62" s="21">
        <f t="shared" si="5"/>
        <v>0.3984741275250589</v>
      </c>
    </row>
    <row r="63" spans="1:20" x14ac:dyDescent="0.3">
      <c r="A63" s="7" t="s">
        <v>69</v>
      </c>
      <c r="B63" s="7" t="s">
        <v>258</v>
      </c>
      <c r="C63" s="19">
        <v>534696</v>
      </c>
      <c r="D63" s="15">
        <v>0</v>
      </c>
      <c r="E63" s="18">
        <f t="shared" si="6"/>
        <v>534696</v>
      </c>
      <c r="F63" s="19">
        <f>Cost_Drivers!B63*Finance_Assumptions!$B$4</f>
        <v>20300</v>
      </c>
      <c r="G63" s="19">
        <f>Cost_Drivers!C63*Finance_Assumptions!$B$5</f>
        <v>116800</v>
      </c>
      <c r="H63" s="19">
        <f>Cost_Drivers!D63*Finance_Assumptions!$B$6</f>
        <v>7250</v>
      </c>
      <c r="I63" s="19">
        <f>Cost_Drivers!E63*Finance_Assumptions!$B$7</f>
        <v>10620</v>
      </c>
      <c r="J63" s="19">
        <f t="shared" si="7"/>
        <v>154970</v>
      </c>
      <c r="K63" s="19">
        <f t="shared" si="0"/>
        <v>57063.965809047302</v>
      </c>
      <c r="L63" s="24">
        <f t="shared" si="1"/>
        <v>8.2714572759703953E-4</v>
      </c>
      <c r="M63" s="20">
        <f t="shared" si="8"/>
        <v>33085.829103881581</v>
      </c>
      <c r="N63" s="7">
        <f>Cost_Drivers!B63+Cost_Drivers!C63+Cost_Drivers!E63</f>
        <v>161</v>
      </c>
      <c r="P63" s="7">
        <f t="shared" si="2"/>
        <v>5.9945341762914308E-4</v>
      </c>
      <c r="Q63" s="20">
        <f t="shared" si="9"/>
        <v>23978.136705165722</v>
      </c>
      <c r="R63" s="19">
        <f t="shared" si="3"/>
        <v>322662.03419095272</v>
      </c>
      <c r="S63" s="22">
        <f t="shared" si="4"/>
        <v>0.60344950063391667</v>
      </c>
      <c r="T63" s="21">
        <f t="shared" si="5"/>
        <v>0.28982823884973891</v>
      </c>
    </row>
    <row r="64" spans="1:20" x14ac:dyDescent="0.3">
      <c r="A64" s="7" t="s">
        <v>70</v>
      </c>
      <c r="B64" s="7" t="s">
        <v>259</v>
      </c>
      <c r="C64" s="19">
        <v>639058</v>
      </c>
      <c r="D64" s="15">
        <v>0.15</v>
      </c>
      <c r="E64" s="18">
        <f t="shared" si="6"/>
        <v>543199.29999999993</v>
      </c>
      <c r="F64" s="19">
        <f>Cost_Drivers!B64*Finance_Assumptions!$B$4</f>
        <v>23800</v>
      </c>
      <c r="G64" s="19">
        <f>Cost_Drivers!C64*Finance_Assumptions!$B$5</f>
        <v>329600</v>
      </c>
      <c r="H64" s="19">
        <f>Cost_Drivers!D64*Finance_Assumptions!$B$6</f>
        <v>86250</v>
      </c>
      <c r="I64" s="19">
        <f>Cost_Drivers!E64*Finance_Assumptions!$B$7</f>
        <v>34380</v>
      </c>
      <c r="J64" s="19">
        <f t="shared" si="7"/>
        <v>474030</v>
      </c>
      <c r="K64" s="19">
        <f t="shared" si="0"/>
        <v>97801.913627566173</v>
      </c>
      <c r="L64" s="24">
        <f t="shared" si="1"/>
        <v>8.4029987175647937E-4</v>
      </c>
      <c r="M64" s="20">
        <f t="shared" si="8"/>
        <v>33611.994870259172</v>
      </c>
      <c r="N64" s="7">
        <f>Cost_Drivers!B64+Cost_Drivers!C64+Cost_Drivers!E64</f>
        <v>431</v>
      </c>
      <c r="P64" s="7">
        <f t="shared" si="2"/>
        <v>1.6047479689326751E-3</v>
      </c>
      <c r="Q64" s="20">
        <f t="shared" si="9"/>
        <v>64189.918757307001</v>
      </c>
      <c r="R64" s="19">
        <f t="shared" si="3"/>
        <v>-28632.613627566243</v>
      </c>
      <c r="S64" s="22">
        <f t="shared" si="4"/>
        <v>-5.2711065031869973E-2</v>
      </c>
      <c r="T64" s="21">
        <f t="shared" si="5"/>
        <v>0.87266312751139419</v>
      </c>
    </row>
    <row r="65" spans="1:20" x14ac:dyDescent="0.3">
      <c r="A65" s="7" t="s">
        <v>71</v>
      </c>
      <c r="B65" s="7" t="s">
        <v>258</v>
      </c>
      <c r="C65" s="19">
        <v>478418</v>
      </c>
      <c r="D65" s="15">
        <v>0.1</v>
      </c>
      <c r="E65" s="18">
        <f t="shared" si="6"/>
        <v>430576.2</v>
      </c>
      <c r="F65" s="19">
        <f>Cost_Drivers!B65*Finance_Assumptions!$B$4</f>
        <v>6300</v>
      </c>
      <c r="G65" s="19">
        <f>Cost_Drivers!C65*Finance_Assumptions!$B$5</f>
        <v>17600</v>
      </c>
      <c r="H65" s="19">
        <f>Cost_Drivers!D65*Finance_Assumptions!$B$6</f>
        <v>22500</v>
      </c>
      <c r="I65" s="19">
        <f>Cost_Drivers!E65*Finance_Assumptions!$B$7</f>
        <v>7560</v>
      </c>
      <c r="J65" s="19">
        <f t="shared" si="7"/>
        <v>53960</v>
      </c>
      <c r="K65" s="19">
        <f t="shared" si="0"/>
        <v>35876.93826120835</v>
      </c>
      <c r="L65" s="24">
        <f t="shared" si="1"/>
        <v>6.6607804104569404E-4</v>
      </c>
      <c r="M65" s="20">
        <f t="shared" si="8"/>
        <v>26643.121641827762</v>
      </c>
      <c r="N65" s="7">
        <f>Cost_Drivers!B65+Cost_Drivers!C65+Cost_Drivers!E65</f>
        <v>62</v>
      </c>
      <c r="P65" s="7">
        <f t="shared" si="2"/>
        <v>2.3084541548451474E-4</v>
      </c>
      <c r="Q65" s="20">
        <f t="shared" si="9"/>
        <v>9233.8166193805901</v>
      </c>
      <c r="R65" s="19">
        <f t="shared" si="3"/>
        <v>340739.26173879165</v>
      </c>
      <c r="S65" s="22">
        <f t="shared" si="4"/>
        <v>0.79135647009470478</v>
      </c>
      <c r="T65" s="21">
        <f t="shared" si="5"/>
        <v>0.12532044269980552</v>
      </c>
    </row>
    <row r="66" spans="1:20" x14ac:dyDescent="0.3">
      <c r="A66" s="7" t="s">
        <v>72</v>
      </c>
      <c r="B66" s="7" t="s">
        <v>258</v>
      </c>
      <c r="C66" s="19">
        <v>158429</v>
      </c>
      <c r="D66" s="15">
        <v>0.03</v>
      </c>
      <c r="E66" s="18">
        <f t="shared" si="6"/>
        <v>153676.13</v>
      </c>
      <c r="F66" s="19">
        <f>Cost_Drivers!B66*Finance_Assumptions!$B$4</f>
        <v>10500</v>
      </c>
      <c r="G66" s="19">
        <f>Cost_Drivers!C66*Finance_Assumptions!$B$5</f>
        <v>155200</v>
      </c>
      <c r="H66" s="19">
        <f>Cost_Drivers!D66*Finance_Assumptions!$B$6</f>
        <v>13500</v>
      </c>
      <c r="I66" s="19">
        <f>Cost_Drivers!E66*Finance_Assumptions!$B$7</f>
        <v>14040</v>
      </c>
      <c r="J66" s="19">
        <f t="shared" si="7"/>
        <v>193240</v>
      </c>
      <c r="K66" s="19">
        <f t="shared" ref="K66:K129" si="10">M66+Q66</f>
        <v>37806.325672565064</v>
      </c>
      <c r="L66" s="24">
        <f t="shared" ref="L66:L129" si="11">E66/$W$2</f>
        <v>2.3772864274867819E-4</v>
      </c>
      <c r="M66" s="20">
        <f t="shared" si="8"/>
        <v>9509.1457099471281</v>
      </c>
      <c r="N66" s="7">
        <f>Cost_Drivers!B66+Cost_Drivers!C66+Cost_Drivers!E66</f>
        <v>190</v>
      </c>
      <c r="P66" s="7">
        <f t="shared" ref="P66:P129" si="12">N66/$O$2</f>
        <v>7.0742949906544845E-4</v>
      </c>
      <c r="Q66" s="20">
        <f t="shared" si="9"/>
        <v>28297.179962617938</v>
      </c>
      <c r="R66" s="19">
        <f t="shared" ref="R66:R129" si="13">E66-J66-K66</f>
        <v>-77370.195672565053</v>
      </c>
      <c r="S66" s="22">
        <f t="shared" ref="S66:S129" si="14">R66/E66</f>
        <v>-0.50346267616555052</v>
      </c>
      <c r="T66" s="21">
        <f t="shared" ref="T66:T129" si="15">J66/E66</f>
        <v>1.2574496767975611</v>
      </c>
    </row>
    <row r="67" spans="1:20" x14ac:dyDescent="0.3">
      <c r="A67" s="7" t="s">
        <v>73</v>
      </c>
      <c r="B67" s="7" t="s">
        <v>259</v>
      </c>
      <c r="C67" s="19">
        <v>2250467</v>
      </c>
      <c r="D67" s="15">
        <v>0.08</v>
      </c>
      <c r="E67" s="18">
        <f t="shared" ref="E67:E130" si="16">C67*(1-D67)</f>
        <v>2070429.6400000001</v>
      </c>
      <c r="F67" s="19">
        <f>Cost_Drivers!B67*Finance_Assumptions!$B$4</f>
        <v>18200</v>
      </c>
      <c r="G67" s="19">
        <f>Cost_Drivers!C67*Finance_Assumptions!$B$5</f>
        <v>409600</v>
      </c>
      <c r="H67" s="19">
        <f>Cost_Drivers!D67*Finance_Assumptions!$B$6</f>
        <v>53250</v>
      </c>
      <c r="I67" s="19">
        <f>Cost_Drivers!E67*Finance_Assumptions!$B$7</f>
        <v>94320</v>
      </c>
      <c r="J67" s="19">
        <f t="shared" ref="J67:J130" si="17">F67+G67+H67+I67</f>
        <v>575370</v>
      </c>
      <c r="K67" s="19">
        <f t="shared" si="10"/>
        <v>248153.31288276566</v>
      </c>
      <c r="L67" s="24">
        <f t="shared" si="11"/>
        <v>3.2028424207704502E-3</v>
      </c>
      <c r="M67" s="20">
        <f t="shared" ref="M67:M130" si="18">L67*40000000</f>
        <v>128113.69683081801</v>
      </c>
      <c r="N67" s="7">
        <f>Cost_Drivers!B67+Cost_Drivers!C67+Cost_Drivers!E67</f>
        <v>806</v>
      </c>
      <c r="P67" s="7">
        <f t="shared" si="12"/>
        <v>3.0009904012986916E-3</v>
      </c>
      <c r="Q67" s="20">
        <f t="shared" ref="Q67:Q130" si="19">P67*40000000</f>
        <v>120039.61605194767</v>
      </c>
      <c r="R67" s="19">
        <f t="shared" si="13"/>
        <v>1246906.3271172345</v>
      </c>
      <c r="S67" s="22">
        <f t="shared" si="14"/>
        <v>0.60224520699830897</v>
      </c>
      <c r="T67" s="21">
        <f t="shared" si="15"/>
        <v>0.27789884229053058</v>
      </c>
    </row>
    <row r="68" spans="1:20" x14ac:dyDescent="0.3">
      <c r="A68" s="7" t="s">
        <v>74</v>
      </c>
      <c r="B68" s="7" t="s">
        <v>258</v>
      </c>
      <c r="C68" s="19">
        <v>155660</v>
      </c>
      <c r="D68" s="15">
        <v>0.06</v>
      </c>
      <c r="E68" s="18">
        <f t="shared" si="16"/>
        <v>146320.4</v>
      </c>
      <c r="F68" s="19">
        <f>Cost_Drivers!B68*Finance_Assumptions!$B$4</f>
        <v>10500</v>
      </c>
      <c r="G68" s="19">
        <f>Cost_Drivers!C68*Finance_Assumptions!$B$5</f>
        <v>67200</v>
      </c>
      <c r="H68" s="19">
        <f>Cost_Drivers!D68*Finance_Assumptions!$B$6</f>
        <v>6250</v>
      </c>
      <c r="I68" s="19">
        <f>Cost_Drivers!E68*Finance_Assumptions!$B$7</f>
        <v>13320</v>
      </c>
      <c r="J68" s="19">
        <f t="shared" si="17"/>
        <v>97270</v>
      </c>
      <c r="K68" s="19">
        <f t="shared" si="10"/>
        <v>28564.150008499171</v>
      </c>
      <c r="L68" s="24">
        <f t="shared" si="11"/>
        <v>2.2634972717261743E-4</v>
      </c>
      <c r="M68" s="20">
        <f t="shared" si="18"/>
        <v>9053.9890869046976</v>
      </c>
      <c r="N68" s="7">
        <f>Cost_Drivers!B68+Cost_Drivers!C68+Cost_Drivers!E68</f>
        <v>131</v>
      </c>
      <c r="P68" s="7">
        <f t="shared" si="12"/>
        <v>4.8775402303986181E-4</v>
      </c>
      <c r="Q68" s="20">
        <f t="shared" si="19"/>
        <v>19510.160921594474</v>
      </c>
      <c r="R68" s="19">
        <f t="shared" si="13"/>
        <v>20486.249991500823</v>
      </c>
      <c r="S68" s="22">
        <f t="shared" si="14"/>
        <v>0.14000952697983893</v>
      </c>
      <c r="T68" s="21">
        <f t="shared" si="15"/>
        <v>0.66477401647343781</v>
      </c>
    </row>
    <row r="69" spans="1:20" x14ac:dyDescent="0.3">
      <c r="A69" s="7" t="s">
        <v>75</v>
      </c>
      <c r="B69" s="7" t="s">
        <v>258</v>
      </c>
      <c r="C69" s="19">
        <v>554841</v>
      </c>
      <c r="D69" s="15">
        <v>0.1</v>
      </c>
      <c r="E69" s="18">
        <f t="shared" si="16"/>
        <v>499356.9</v>
      </c>
      <c r="F69" s="19">
        <f>Cost_Drivers!B69*Finance_Assumptions!$B$4</f>
        <v>28000</v>
      </c>
      <c r="G69" s="19">
        <f>Cost_Drivers!C69*Finance_Assumptions!$B$5</f>
        <v>116800</v>
      </c>
      <c r="H69" s="19">
        <f>Cost_Drivers!D69*Finance_Assumptions!$B$6</f>
        <v>22000</v>
      </c>
      <c r="I69" s="19">
        <f>Cost_Drivers!E69*Finance_Assumptions!$B$7</f>
        <v>17820</v>
      </c>
      <c r="J69" s="19">
        <f t="shared" si="17"/>
        <v>184620</v>
      </c>
      <c r="K69" s="19">
        <f t="shared" si="10"/>
        <v>62472.817758544072</v>
      </c>
      <c r="L69" s="24">
        <f t="shared" si="11"/>
        <v>7.724780555326804E-4</v>
      </c>
      <c r="M69" s="20">
        <f t="shared" si="18"/>
        <v>30899.122221307214</v>
      </c>
      <c r="N69" s="7">
        <f>Cost_Drivers!B69+Cost_Drivers!C69+Cost_Drivers!E69</f>
        <v>212</v>
      </c>
      <c r="P69" s="7">
        <f t="shared" si="12"/>
        <v>7.8934238843092139E-4</v>
      </c>
      <c r="Q69" s="20">
        <f t="shared" si="19"/>
        <v>31573.695537236854</v>
      </c>
      <c r="R69" s="19">
        <f t="shared" si="13"/>
        <v>252264.08224145597</v>
      </c>
      <c r="S69" s="22">
        <f t="shared" si="14"/>
        <v>0.50517792432918407</v>
      </c>
      <c r="T69" s="21">
        <f t="shared" si="15"/>
        <v>0.369715528112258</v>
      </c>
    </row>
    <row r="70" spans="1:20" x14ac:dyDescent="0.3">
      <c r="A70" s="7" t="s">
        <v>76</v>
      </c>
      <c r="B70" s="7" t="s">
        <v>258</v>
      </c>
      <c r="C70" s="19">
        <v>412744</v>
      </c>
      <c r="D70" s="15">
        <v>7.0000000000000007E-2</v>
      </c>
      <c r="E70" s="18">
        <f t="shared" si="16"/>
        <v>383851.92</v>
      </c>
      <c r="F70" s="19">
        <f>Cost_Drivers!B70*Finance_Assumptions!$B$4</f>
        <v>11900</v>
      </c>
      <c r="G70" s="19">
        <f>Cost_Drivers!C70*Finance_Assumptions!$B$5</f>
        <v>128000</v>
      </c>
      <c r="H70" s="19">
        <f>Cost_Drivers!D70*Finance_Assumptions!$B$6</f>
        <v>24500</v>
      </c>
      <c r="I70" s="19">
        <f>Cost_Drivers!E70*Finance_Assumptions!$B$7</f>
        <v>13320</v>
      </c>
      <c r="J70" s="19">
        <f t="shared" si="17"/>
        <v>177720</v>
      </c>
      <c r="K70" s="19">
        <f t="shared" si="10"/>
        <v>49219.386473584222</v>
      </c>
      <c r="L70" s="24">
        <f t="shared" si="11"/>
        <v>5.9379811268070188E-4</v>
      </c>
      <c r="M70" s="20">
        <f t="shared" si="18"/>
        <v>23751.924507228076</v>
      </c>
      <c r="N70" s="7">
        <f>Cost_Drivers!B70+Cost_Drivers!C70+Cost_Drivers!E70</f>
        <v>171</v>
      </c>
      <c r="P70" s="7">
        <f t="shared" si="12"/>
        <v>6.366865491589036E-4</v>
      </c>
      <c r="Q70" s="20">
        <f t="shared" si="19"/>
        <v>25467.461966356143</v>
      </c>
      <c r="R70" s="19">
        <f t="shared" si="13"/>
        <v>156912.53352641576</v>
      </c>
      <c r="S70" s="22">
        <f t="shared" si="14"/>
        <v>0.40878402673201625</v>
      </c>
      <c r="T70" s="21">
        <f t="shared" si="15"/>
        <v>0.46299104092015486</v>
      </c>
    </row>
    <row r="71" spans="1:20" x14ac:dyDescent="0.3">
      <c r="A71" s="7" t="s">
        <v>77</v>
      </c>
      <c r="B71" s="7" t="s">
        <v>258</v>
      </c>
      <c r="C71" s="19">
        <v>124630</v>
      </c>
      <c r="D71" s="15">
        <v>0.1</v>
      </c>
      <c r="E71" s="18">
        <f t="shared" si="16"/>
        <v>112167</v>
      </c>
      <c r="F71" s="19">
        <f>Cost_Drivers!B71*Finance_Assumptions!$B$4</f>
        <v>26600</v>
      </c>
      <c r="G71" s="19">
        <f>Cost_Drivers!C71*Finance_Assumptions!$B$5</f>
        <v>164800</v>
      </c>
      <c r="H71" s="19">
        <f>Cost_Drivers!D71*Finance_Assumptions!$B$6</f>
        <v>19000</v>
      </c>
      <c r="I71" s="19">
        <f>Cost_Drivers!E71*Finance_Assumptions!$B$7</f>
        <v>12960</v>
      </c>
      <c r="J71" s="19">
        <f t="shared" si="17"/>
        <v>223360</v>
      </c>
      <c r="K71" s="19">
        <f t="shared" si="10"/>
        <v>38663.278812744495</v>
      </c>
      <c r="L71" s="24">
        <f t="shared" si="11"/>
        <v>1.7351626873471492E-4</v>
      </c>
      <c r="M71" s="20">
        <f t="shared" si="18"/>
        <v>6940.6507493885974</v>
      </c>
      <c r="N71" s="7">
        <f>Cost_Drivers!B71+Cost_Drivers!C71+Cost_Drivers!E71</f>
        <v>213</v>
      </c>
      <c r="P71" s="7">
        <f t="shared" si="12"/>
        <v>7.9306570158389745E-4</v>
      </c>
      <c r="Q71" s="20">
        <f t="shared" si="19"/>
        <v>31722.628063355896</v>
      </c>
      <c r="R71" s="19">
        <f t="shared" si="13"/>
        <v>-149856.27881274448</v>
      </c>
      <c r="S71" s="22">
        <f t="shared" si="14"/>
        <v>-1.3360104024601218</v>
      </c>
      <c r="T71" s="21">
        <f t="shared" si="15"/>
        <v>1.991316519118814</v>
      </c>
    </row>
    <row r="72" spans="1:20" x14ac:dyDescent="0.3">
      <c r="A72" s="7" t="s">
        <v>78</v>
      </c>
      <c r="B72" s="7" t="s">
        <v>258</v>
      </c>
      <c r="C72" s="19">
        <v>585691</v>
      </c>
      <c r="D72" s="15">
        <v>0.09</v>
      </c>
      <c r="E72" s="18">
        <f t="shared" si="16"/>
        <v>532978.81000000006</v>
      </c>
      <c r="F72" s="19">
        <f>Cost_Drivers!B72*Finance_Assumptions!$B$4</f>
        <v>7000</v>
      </c>
      <c r="G72" s="19">
        <f>Cost_Drivers!C72*Finance_Assumptions!$B$5</f>
        <v>17600</v>
      </c>
      <c r="H72" s="19">
        <f>Cost_Drivers!D72*Finance_Assumptions!$B$6</f>
        <v>17500</v>
      </c>
      <c r="I72" s="19">
        <f>Cost_Drivers!E72*Finance_Assumptions!$B$7</f>
        <v>8820</v>
      </c>
      <c r="J72" s="19">
        <f t="shared" si="17"/>
        <v>50920</v>
      </c>
      <c r="K72" s="19">
        <f t="shared" si="10"/>
        <v>43404.849938380823</v>
      </c>
      <c r="L72" s="24">
        <f t="shared" si="11"/>
        <v>8.2448932775119757E-4</v>
      </c>
      <c r="M72" s="20">
        <f t="shared" si="18"/>
        <v>32979.573110047902</v>
      </c>
      <c r="N72" s="7">
        <f>Cost_Drivers!B72+Cost_Drivers!C72+Cost_Drivers!E72</f>
        <v>70</v>
      </c>
      <c r="P72" s="7">
        <f t="shared" si="12"/>
        <v>2.6063192070832311E-4</v>
      </c>
      <c r="Q72" s="20">
        <f t="shared" si="19"/>
        <v>10425.276828332924</v>
      </c>
      <c r="R72" s="19">
        <f t="shared" si="13"/>
        <v>438653.96006161923</v>
      </c>
      <c r="S72" s="22">
        <f t="shared" si="14"/>
        <v>0.82302326439885887</v>
      </c>
      <c r="T72" s="21">
        <f t="shared" si="15"/>
        <v>9.553850743146805E-2</v>
      </c>
    </row>
    <row r="73" spans="1:20" x14ac:dyDescent="0.3">
      <c r="A73" s="7" t="s">
        <v>79</v>
      </c>
      <c r="B73" s="7" t="s">
        <v>258</v>
      </c>
      <c r="C73" s="19">
        <v>353867</v>
      </c>
      <c r="D73" s="15">
        <v>0.01</v>
      </c>
      <c r="E73" s="18">
        <f t="shared" si="16"/>
        <v>350328.33</v>
      </c>
      <c r="F73" s="19">
        <f>Cost_Drivers!B73*Finance_Assumptions!$B$4</f>
        <v>11200</v>
      </c>
      <c r="G73" s="19">
        <f>Cost_Drivers!C73*Finance_Assumptions!$B$5</f>
        <v>19200</v>
      </c>
      <c r="H73" s="19">
        <f>Cost_Drivers!D73*Finance_Assumptions!$B$6</f>
        <v>22500</v>
      </c>
      <c r="I73" s="19">
        <f>Cost_Drivers!E73*Finance_Assumptions!$B$7</f>
        <v>15840</v>
      </c>
      <c r="J73" s="19">
        <f t="shared" si="17"/>
        <v>68740</v>
      </c>
      <c r="K73" s="19">
        <f t="shared" si="10"/>
        <v>38953.730476709941</v>
      </c>
      <c r="L73" s="24">
        <f t="shared" si="11"/>
        <v>5.4193893617252747E-4</v>
      </c>
      <c r="M73" s="20">
        <f t="shared" si="18"/>
        <v>21677.557446901097</v>
      </c>
      <c r="N73" s="7">
        <f>Cost_Drivers!B73+Cost_Drivers!C73+Cost_Drivers!E73</f>
        <v>116</v>
      </c>
      <c r="P73" s="7">
        <f t="shared" si="12"/>
        <v>4.3190432574522115E-4</v>
      </c>
      <c r="Q73" s="20">
        <f t="shared" si="19"/>
        <v>17276.173029808848</v>
      </c>
      <c r="R73" s="19">
        <f t="shared" si="13"/>
        <v>242634.59952329006</v>
      </c>
      <c r="S73" s="22">
        <f t="shared" si="14"/>
        <v>0.69259200226053674</v>
      </c>
      <c r="T73" s="21">
        <f t="shared" si="15"/>
        <v>0.19621593263667828</v>
      </c>
    </row>
    <row r="74" spans="1:20" x14ac:dyDescent="0.3">
      <c r="A74" s="7" t="s">
        <v>80</v>
      </c>
      <c r="B74" s="7" t="s">
        <v>258</v>
      </c>
      <c r="C74" s="19">
        <v>151000</v>
      </c>
      <c r="D74" s="15">
        <v>0.04</v>
      </c>
      <c r="E74" s="18">
        <f t="shared" si="16"/>
        <v>144960</v>
      </c>
      <c r="F74" s="19">
        <f>Cost_Drivers!B74*Finance_Assumptions!$B$4</f>
        <v>5600</v>
      </c>
      <c r="G74" s="19">
        <f>Cost_Drivers!C74*Finance_Assumptions!$B$5</f>
        <v>158400</v>
      </c>
      <c r="H74" s="19">
        <f>Cost_Drivers!D74*Finance_Assumptions!$B$6</f>
        <v>19000</v>
      </c>
      <c r="I74" s="19">
        <f>Cost_Drivers!E74*Finance_Assumptions!$B$7</f>
        <v>5220</v>
      </c>
      <c r="J74" s="19">
        <f t="shared" si="17"/>
        <v>188220</v>
      </c>
      <c r="K74" s="19">
        <f t="shared" si="10"/>
        <v>29224.634036836418</v>
      </c>
      <c r="L74" s="24">
        <f t="shared" si="11"/>
        <v>2.2424526211616851E-4</v>
      </c>
      <c r="M74" s="20">
        <f t="shared" si="18"/>
        <v>8969.8104846467413</v>
      </c>
      <c r="N74" s="7">
        <f>Cost_Drivers!B74+Cost_Drivers!C74+Cost_Drivers!E74</f>
        <v>136</v>
      </c>
      <c r="P74" s="7">
        <f t="shared" si="12"/>
        <v>5.0637058880474196E-4</v>
      </c>
      <c r="Q74" s="20">
        <f t="shared" si="19"/>
        <v>20254.823552189679</v>
      </c>
      <c r="R74" s="19">
        <f t="shared" si="13"/>
        <v>-72484.634036836418</v>
      </c>
      <c r="S74" s="22">
        <f t="shared" si="14"/>
        <v>-0.50003196769340796</v>
      </c>
      <c r="T74" s="21">
        <f t="shared" si="15"/>
        <v>1.2984271523178808</v>
      </c>
    </row>
    <row r="75" spans="1:20" x14ac:dyDescent="0.3">
      <c r="A75" s="7" t="s">
        <v>81</v>
      </c>
      <c r="B75" s="7" t="s">
        <v>259</v>
      </c>
      <c r="C75" s="19">
        <v>2165633</v>
      </c>
      <c r="D75" s="15">
        <v>0.03</v>
      </c>
      <c r="E75" s="18">
        <f t="shared" si="16"/>
        <v>2100664.0099999998</v>
      </c>
      <c r="F75" s="19">
        <f>Cost_Drivers!B75*Finance_Assumptions!$B$4</f>
        <v>18900</v>
      </c>
      <c r="G75" s="19">
        <f>Cost_Drivers!C75*Finance_Assumptions!$B$5</f>
        <v>206400</v>
      </c>
      <c r="H75" s="19">
        <f>Cost_Drivers!D75*Finance_Assumptions!$B$6</f>
        <v>53500</v>
      </c>
      <c r="I75" s="19">
        <f>Cost_Drivers!E75*Finance_Assumptions!$B$7</f>
        <v>34920</v>
      </c>
      <c r="J75" s="19">
        <f t="shared" si="17"/>
        <v>313720</v>
      </c>
      <c r="K75" s="19">
        <f t="shared" si="10"/>
        <v>182110.91823119321</v>
      </c>
      <c r="L75" s="24">
        <f t="shared" si="11"/>
        <v>3.2496133522382149E-3</v>
      </c>
      <c r="M75" s="20">
        <f t="shared" si="18"/>
        <v>129984.53408952859</v>
      </c>
      <c r="N75" s="7">
        <f>Cost_Drivers!B75+Cost_Drivers!C75+Cost_Drivers!E75</f>
        <v>350</v>
      </c>
      <c r="P75" s="7">
        <f t="shared" si="12"/>
        <v>1.3031596035416155E-3</v>
      </c>
      <c r="Q75" s="20">
        <f t="shared" si="19"/>
        <v>52126.384141664617</v>
      </c>
      <c r="R75" s="19">
        <f t="shared" si="13"/>
        <v>1604833.0917688066</v>
      </c>
      <c r="S75" s="22">
        <f t="shared" si="14"/>
        <v>0.76396467218420461</v>
      </c>
      <c r="T75" s="21">
        <f t="shared" si="15"/>
        <v>0.14934325456454126</v>
      </c>
    </row>
    <row r="76" spans="1:20" x14ac:dyDescent="0.3">
      <c r="A76" s="7" t="s">
        <v>82</v>
      </c>
      <c r="B76" s="7" t="s">
        <v>259</v>
      </c>
      <c r="C76" s="19">
        <v>1957527</v>
      </c>
      <c r="D76" s="15">
        <v>0.17</v>
      </c>
      <c r="E76" s="18">
        <f t="shared" si="16"/>
        <v>1624747.41</v>
      </c>
      <c r="F76" s="19">
        <f>Cost_Drivers!B76*Finance_Assumptions!$B$4</f>
        <v>50400</v>
      </c>
      <c r="G76" s="19">
        <f>Cost_Drivers!C76*Finance_Assumptions!$B$5</f>
        <v>89600</v>
      </c>
      <c r="H76" s="19">
        <f>Cost_Drivers!D76*Finance_Assumptions!$B$6</f>
        <v>25250</v>
      </c>
      <c r="I76" s="19">
        <f>Cost_Drivers!E76*Finance_Assumptions!$B$7</f>
        <v>104580</v>
      </c>
      <c r="J76" s="19">
        <f t="shared" si="17"/>
        <v>269830</v>
      </c>
      <c r="K76" s="19">
        <f t="shared" si="10"/>
        <v>206129.00782524829</v>
      </c>
      <c r="L76" s="24">
        <f t="shared" si="11"/>
        <v>2.5133961701711916E-3</v>
      </c>
      <c r="M76" s="20">
        <f t="shared" si="18"/>
        <v>100535.84680684766</v>
      </c>
      <c r="N76" s="7">
        <f>Cost_Drivers!B76+Cost_Drivers!C76+Cost_Drivers!E76</f>
        <v>709</v>
      </c>
      <c r="P76" s="7">
        <f t="shared" si="12"/>
        <v>2.6398290254600154E-3</v>
      </c>
      <c r="Q76" s="20">
        <f t="shared" si="19"/>
        <v>105593.16101840061</v>
      </c>
      <c r="R76" s="19">
        <f t="shared" si="13"/>
        <v>1148788.4021747517</v>
      </c>
      <c r="S76" s="22">
        <f t="shared" si="14"/>
        <v>0.70705661391068275</v>
      </c>
      <c r="T76" s="21">
        <f t="shared" si="15"/>
        <v>0.1660750454742993</v>
      </c>
    </row>
    <row r="77" spans="1:20" x14ac:dyDescent="0.3">
      <c r="A77" s="7" t="s">
        <v>83</v>
      </c>
      <c r="B77" s="7" t="s">
        <v>258</v>
      </c>
      <c r="C77" s="19">
        <v>569605</v>
      </c>
      <c r="D77" s="15">
        <v>0.08</v>
      </c>
      <c r="E77" s="18">
        <f t="shared" si="16"/>
        <v>524036.60000000003</v>
      </c>
      <c r="F77" s="19">
        <f>Cost_Drivers!B77*Finance_Assumptions!$B$4</f>
        <v>5600</v>
      </c>
      <c r="G77" s="19">
        <f>Cost_Drivers!C77*Finance_Assumptions!$B$5</f>
        <v>19200</v>
      </c>
      <c r="H77" s="19">
        <f>Cost_Drivers!D77*Finance_Assumptions!$B$6</f>
        <v>7750</v>
      </c>
      <c r="I77" s="19">
        <f>Cost_Drivers!E77*Finance_Assumptions!$B$7</f>
        <v>11520</v>
      </c>
      <c r="J77" s="19">
        <f t="shared" si="17"/>
        <v>44070</v>
      </c>
      <c r="K77" s="19">
        <f t="shared" si="10"/>
        <v>44936.580738554083</v>
      </c>
      <c r="L77" s="24">
        <f t="shared" si="11"/>
        <v>8.1065621361386432E-4</v>
      </c>
      <c r="M77" s="20">
        <f t="shared" si="18"/>
        <v>32426.248544554572</v>
      </c>
      <c r="N77" s="7">
        <f>Cost_Drivers!B77+Cost_Drivers!C77+Cost_Drivers!E77</f>
        <v>84</v>
      </c>
      <c r="P77" s="7">
        <f t="shared" si="12"/>
        <v>3.127583048499877E-4</v>
      </c>
      <c r="Q77" s="20">
        <f t="shared" si="19"/>
        <v>12510.332193999508</v>
      </c>
      <c r="R77" s="19">
        <f t="shared" si="13"/>
        <v>435030.01926144597</v>
      </c>
      <c r="S77" s="22">
        <f t="shared" si="14"/>
        <v>0.83015197652500983</v>
      </c>
      <c r="T77" s="21">
        <f t="shared" si="15"/>
        <v>8.4097179471815511E-2</v>
      </c>
    </row>
    <row r="78" spans="1:20" x14ac:dyDescent="0.3">
      <c r="A78" s="7" t="s">
        <v>84</v>
      </c>
      <c r="B78" s="7" t="s">
        <v>260</v>
      </c>
      <c r="C78" s="19">
        <v>13334799</v>
      </c>
      <c r="D78" s="15">
        <v>0.23</v>
      </c>
      <c r="E78" s="18">
        <f t="shared" si="16"/>
        <v>10267795.23</v>
      </c>
      <c r="F78" s="19">
        <f>Cost_Drivers!B78*Finance_Assumptions!$B$4</f>
        <v>52500</v>
      </c>
      <c r="G78" s="19">
        <f>Cost_Drivers!C78*Finance_Assumptions!$B$5</f>
        <v>1054400</v>
      </c>
      <c r="H78" s="19">
        <f>Cost_Drivers!D78*Finance_Assumptions!$B$6</f>
        <v>472000</v>
      </c>
      <c r="I78" s="19">
        <f>Cost_Drivers!E78*Finance_Assumptions!$B$7</f>
        <v>155160</v>
      </c>
      <c r="J78" s="19">
        <f t="shared" si="17"/>
        <v>1734060</v>
      </c>
      <c r="K78" s="19">
        <f t="shared" si="10"/>
        <v>873045.21695820231</v>
      </c>
      <c r="L78" s="24">
        <f t="shared" si="11"/>
        <v>1.5883722631805292E-2</v>
      </c>
      <c r="M78" s="20">
        <f t="shared" si="18"/>
        <v>635348.90527221165</v>
      </c>
      <c r="N78" s="7">
        <f>Cost_Drivers!B78+Cost_Drivers!C78+Cost_Drivers!E78</f>
        <v>1596</v>
      </c>
      <c r="P78" s="7">
        <f t="shared" si="12"/>
        <v>5.9424077921497662E-3</v>
      </c>
      <c r="Q78" s="20">
        <f t="shared" si="19"/>
        <v>237696.31168599066</v>
      </c>
      <c r="R78" s="19">
        <f t="shared" si="13"/>
        <v>7660690.013041798</v>
      </c>
      <c r="S78" s="22">
        <f t="shared" si="14"/>
        <v>0.74608909132304513</v>
      </c>
      <c r="T78" s="21">
        <f t="shared" si="15"/>
        <v>0.16888338354601176</v>
      </c>
    </row>
    <row r="79" spans="1:20" x14ac:dyDescent="0.3">
      <c r="A79" s="7" t="s">
        <v>85</v>
      </c>
      <c r="B79" s="7" t="s">
        <v>259</v>
      </c>
      <c r="C79" s="19">
        <v>974098</v>
      </c>
      <c r="D79" s="15">
        <v>0.14000000000000001</v>
      </c>
      <c r="E79" s="18">
        <f t="shared" si="16"/>
        <v>837724.28</v>
      </c>
      <c r="F79" s="19">
        <f>Cost_Drivers!B79*Finance_Assumptions!$B$4</f>
        <v>32900</v>
      </c>
      <c r="G79" s="19">
        <f>Cost_Drivers!C79*Finance_Assumptions!$B$5</f>
        <v>457600</v>
      </c>
      <c r="H79" s="19">
        <f>Cost_Drivers!D79*Finance_Assumptions!$B$6</f>
        <v>24750</v>
      </c>
      <c r="I79" s="19">
        <f>Cost_Drivers!E79*Finance_Assumptions!$B$7</f>
        <v>77940</v>
      </c>
      <c r="J79" s="19">
        <f t="shared" si="17"/>
        <v>593190</v>
      </c>
      <c r="K79" s="19">
        <f t="shared" si="10"/>
        <v>165918.87702420546</v>
      </c>
      <c r="L79" s="24">
        <f t="shared" si="11"/>
        <v>1.2959140504254867E-3</v>
      </c>
      <c r="M79" s="20">
        <f t="shared" si="18"/>
        <v>51836.562017019467</v>
      </c>
      <c r="N79" s="7">
        <f>Cost_Drivers!B79+Cost_Drivers!C79+Cost_Drivers!E79</f>
        <v>766</v>
      </c>
      <c r="P79" s="7">
        <f t="shared" si="12"/>
        <v>2.85205787517965E-3</v>
      </c>
      <c r="Q79" s="20">
        <f t="shared" si="19"/>
        <v>114082.315007186</v>
      </c>
      <c r="R79" s="19">
        <f t="shared" si="13"/>
        <v>78615.402975794568</v>
      </c>
      <c r="S79" s="22">
        <f t="shared" si="14"/>
        <v>9.3844006736673036E-2</v>
      </c>
      <c r="T79" s="21">
        <f t="shared" si="15"/>
        <v>0.70809694091712372</v>
      </c>
    </row>
    <row r="80" spans="1:20" x14ac:dyDescent="0.3">
      <c r="A80" s="7" t="s">
        <v>86</v>
      </c>
      <c r="B80" s="7" t="s">
        <v>258</v>
      </c>
      <c r="C80" s="19">
        <v>290474</v>
      </c>
      <c r="D80" s="15">
        <v>0.04</v>
      </c>
      <c r="E80" s="18">
        <f t="shared" si="16"/>
        <v>278855.03999999998</v>
      </c>
      <c r="F80" s="19">
        <f>Cost_Drivers!B80*Finance_Assumptions!$B$4</f>
        <v>22400</v>
      </c>
      <c r="G80" s="19">
        <f>Cost_Drivers!C80*Finance_Assumptions!$B$5</f>
        <v>89600</v>
      </c>
      <c r="H80" s="19">
        <f>Cost_Drivers!D80*Finance_Assumptions!$B$6</f>
        <v>22500</v>
      </c>
      <c r="I80" s="19">
        <f>Cost_Drivers!E80*Finance_Assumptions!$B$7</f>
        <v>13320</v>
      </c>
      <c r="J80" s="19">
        <f t="shared" si="17"/>
        <v>147820</v>
      </c>
      <c r="K80" s="19">
        <f t="shared" si="10"/>
        <v>41382.014467823028</v>
      </c>
      <c r="L80" s="24">
        <f t="shared" si="11"/>
        <v>4.3137363091345649E-4</v>
      </c>
      <c r="M80" s="20">
        <f t="shared" si="18"/>
        <v>17254.94523653826</v>
      </c>
      <c r="N80" s="7">
        <f>Cost_Drivers!B80+Cost_Drivers!C80+Cost_Drivers!E80</f>
        <v>162</v>
      </c>
      <c r="P80" s="7">
        <f t="shared" si="12"/>
        <v>6.0317673078211914E-4</v>
      </c>
      <c r="Q80" s="20">
        <f t="shared" si="19"/>
        <v>24127.069231284764</v>
      </c>
      <c r="R80" s="19">
        <f t="shared" si="13"/>
        <v>89653.025532176951</v>
      </c>
      <c r="S80" s="22">
        <f t="shared" si="14"/>
        <v>0.3215040529020991</v>
      </c>
      <c r="T80" s="21">
        <f t="shared" si="15"/>
        <v>0.53009621056158784</v>
      </c>
    </row>
    <row r="81" spans="1:20" x14ac:dyDescent="0.3">
      <c r="A81" s="7" t="s">
        <v>87</v>
      </c>
      <c r="B81" s="7" t="s">
        <v>260</v>
      </c>
      <c r="C81" s="19">
        <v>10222963</v>
      </c>
      <c r="D81" s="15">
        <v>0.26</v>
      </c>
      <c r="E81" s="18">
        <f t="shared" si="16"/>
        <v>7564992.6200000001</v>
      </c>
      <c r="F81" s="19">
        <f>Cost_Drivers!B81*Finance_Assumptions!$B$4</f>
        <v>92400</v>
      </c>
      <c r="G81" s="19">
        <f>Cost_Drivers!C81*Finance_Assumptions!$B$5</f>
        <v>1009600</v>
      </c>
      <c r="H81" s="19">
        <f>Cost_Drivers!D81*Finance_Assumptions!$B$6</f>
        <v>314250</v>
      </c>
      <c r="I81" s="19">
        <f>Cost_Drivers!E81*Finance_Assumptions!$B$7</f>
        <v>151380</v>
      </c>
      <c r="J81" s="19">
        <f t="shared" si="17"/>
        <v>1567630</v>
      </c>
      <c r="K81" s="19">
        <f t="shared" si="10"/>
        <v>706993.11212087586</v>
      </c>
      <c r="L81" s="24">
        <f t="shared" si="11"/>
        <v>1.1702633505648321E-2</v>
      </c>
      <c r="M81" s="20">
        <f t="shared" si="18"/>
        <v>468105.34022593283</v>
      </c>
      <c r="N81" s="7">
        <f>Cost_Drivers!B81+Cost_Drivers!C81+Cost_Drivers!E81</f>
        <v>1604</v>
      </c>
      <c r="P81" s="7">
        <f t="shared" si="12"/>
        <v>5.9721942973735747E-3</v>
      </c>
      <c r="Q81" s="20">
        <f t="shared" si="19"/>
        <v>238887.771894943</v>
      </c>
      <c r="R81" s="19">
        <f t="shared" si="13"/>
        <v>5290369.507879124</v>
      </c>
      <c r="S81" s="22">
        <f t="shared" si="14"/>
        <v>0.69932249423385739</v>
      </c>
      <c r="T81" s="21">
        <f t="shared" si="15"/>
        <v>0.20722161656252877</v>
      </c>
    </row>
    <row r="82" spans="1:20" x14ac:dyDescent="0.3">
      <c r="A82" s="7" t="s">
        <v>88</v>
      </c>
      <c r="B82" s="7" t="s">
        <v>259</v>
      </c>
      <c r="C82" s="19">
        <v>2141751</v>
      </c>
      <c r="D82" s="15">
        <v>0.15</v>
      </c>
      <c r="E82" s="18">
        <f t="shared" si="16"/>
        <v>1820488.3499999999</v>
      </c>
      <c r="F82" s="19">
        <f>Cost_Drivers!B82*Finance_Assumptions!$B$4</f>
        <v>48300</v>
      </c>
      <c r="G82" s="19">
        <f>Cost_Drivers!C82*Finance_Assumptions!$B$5</f>
        <v>363200</v>
      </c>
      <c r="H82" s="19">
        <f>Cost_Drivers!D82*Finance_Assumptions!$B$6</f>
        <v>79250</v>
      </c>
      <c r="I82" s="19">
        <f>Cost_Drivers!E82*Finance_Assumptions!$B$7</f>
        <v>106560</v>
      </c>
      <c r="J82" s="19">
        <f t="shared" si="17"/>
        <v>597310</v>
      </c>
      <c r="K82" s="19">
        <f t="shared" si="10"/>
        <v>244899.95494458688</v>
      </c>
      <c r="L82" s="24">
        <f t="shared" si="11"/>
        <v>2.8161967937719449E-3</v>
      </c>
      <c r="M82" s="20">
        <f t="shared" si="18"/>
        <v>112647.87175087779</v>
      </c>
      <c r="N82" s="7">
        <f>Cost_Drivers!B82+Cost_Drivers!C82+Cost_Drivers!E82</f>
        <v>888</v>
      </c>
      <c r="P82" s="7">
        <f t="shared" si="12"/>
        <v>3.3063020798427272E-3</v>
      </c>
      <c r="Q82" s="20">
        <f t="shared" si="19"/>
        <v>132252.08319370908</v>
      </c>
      <c r="R82" s="19">
        <f t="shared" si="13"/>
        <v>978278.39505541301</v>
      </c>
      <c r="S82" s="22">
        <f t="shared" si="14"/>
        <v>0.53737141193757876</v>
      </c>
      <c r="T82" s="21">
        <f t="shared" si="15"/>
        <v>0.32810426938464071</v>
      </c>
    </row>
    <row r="83" spans="1:20" x14ac:dyDescent="0.3">
      <c r="A83" s="7" t="s">
        <v>89</v>
      </c>
      <c r="B83" s="7" t="s">
        <v>259</v>
      </c>
      <c r="C83" s="19">
        <v>653290</v>
      </c>
      <c r="D83" s="15">
        <v>0.04</v>
      </c>
      <c r="E83" s="18">
        <f t="shared" si="16"/>
        <v>627158.4</v>
      </c>
      <c r="F83" s="19">
        <f>Cost_Drivers!B83*Finance_Assumptions!$B$4</f>
        <v>18200</v>
      </c>
      <c r="G83" s="19">
        <f>Cost_Drivers!C83*Finance_Assumptions!$B$5</f>
        <v>211200</v>
      </c>
      <c r="H83" s="19">
        <f>Cost_Drivers!D83*Finance_Assumptions!$B$6</f>
        <v>48500</v>
      </c>
      <c r="I83" s="19">
        <f>Cost_Drivers!E83*Finance_Assumptions!$B$7</f>
        <v>70740</v>
      </c>
      <c r="J83" s="19">
        <f t="shared" si="17"/>
        <v>348640</v>
      </c>
      <c r="K83" s="19">
        <f t="shared" si="10"/>
        <v>120869.02382215406</v>
      </c>
      <c r="L83" s="24">
        <f t="shared" si="11"/>
        <v>9.7018004826405124E-4</v>
      </c>
      <c r="M83" s="20">
        <f t="shared" si="18"/>
        <v>38807.201930562049</v>
      </c>
      <c r="N83" s="7">
        <f>Cost_Drivers!B83+Cost_Drivers!C83+Cost_Drivers!E83</f>
        <v>551</v>
      </c>
      <c r="P83" s="7">
        <f t="shared" si="12"/>
        <v>2.0515455472898004E-3</v>
      </c>
      <c r="Q83" s="20">
        <f t="shared" si="19"/>
        <v>82061.821891592015</v>
      </c>
      <c r="R83" s="19">
        <f t="shared" si="13"/>
        <v>157649.37617784596</v>
      </c>
      <c r="S83" s="22">
        <f t="shared" si="14"/>
        <v>0.25137090753762681</v>
      </c>
      <c r="T83" s="21">
        <f t="shared" si="15"/>
        <v>0.55590421813691726</v>
      </c>
    </row>
    <row r="84" spans="1:20" x14ac:dyDescent="0.3">
      <c r="A84" s="7" t="s">
        <v>90</v>
      </c>
      <c r="B84" s="7" t="s">
        <v>258</v>
      </c>
      <c r="C84" s="19">
        <v>204356</v>
      </c>
      <c r="D84" s="15">
        <v>0.04</v>
      </c>
      <c r="E84" s="18">
        <f t="shared" si="16"/>
        <v>196181.75999999998</v>
      </c>
      <c r="F84" s="19">
        <f>Cost_Drivers!B84*Finance_Assumptions!$B$4</f>
        <v>28000</v>
      </c>
      <c r="G84" s="19">
        <f>Cost_Drivers!C84*Finance_Assumptions!$B$5</f>
        <v>192000</v>
      </c>
      <c r="H84" s="19">
        <f>Cost_Drivers!D84*Finance_Assumptions!$B$6</f>
        <v>24500</v>
      </c>
      <c r="I84" s="19">
        <f>Cost_Drivers!E84*Finance_Assumptions!$B$7</f>
        <v>7380</v>
      </c>
      <c r="J84" s="19">
        <f t="shared" si="17"/>
        <v>251880</v>
      </c>
      <c r="K84" s="19">
        <f t="shared" si="10"/>
        <v>42074.739679731829</v>
      </c>
      <c r="L84" s="24">
        <f t="shared" si="11"/>
        <v>3.0348254824511081E-4</v>
      </c>
      <c r="M84" s="20">
        <f t="shared" si="18"/>
        <v>12139.301929804433</v>
      </c>
      <c r="N84" s="7">
        <f>Cost_Drivers!B84+Cost_Drivers!C84+Cost_Drivers!E84</f>
        <v>201</v>
      </c>
      <c r="P84" s="7">
        <f t="shared" si="12"/>
        <v>7.4838594374818492E-4</v>
      </c>
      <c r="Q84" s="20">
        <f t="shared" si="19"/>
        <v>29935.437749927398</v>
      </c>
      <c r="R84" s="19">
        <f t="shared" si="13"/>
        <v>-97772.979679731856</v>
      </c>
      <c r="S84" s="22">
        <f t="shared" si="14"/>
        <v>-0.49837956229841074</v>
      </c>
      <c r="T84" s="21">
        <f t="shared" si="15"/>
        <v>1.2839114095010669</v>
      </c>
    </row>
    <row r="85" spans="1:20" x14ac:dyDescent="0.3">
      <c r="A85" s="7" t="s">
        <v>91</v>
      </c>
      <c r="B85" s="7" t="s">
        <v>259</v>
      </c>
      <c r="C85" s="19">
        <v>2143490</v>
      </c>
      <c r="D85" s="15">
        <v>0.14000000000000001</v>
      </c>
      <c r="E85" s="18">
        <f t="shared" si="16"/>
        <v>1843401.4</v>
      </c>
      <c r="F85" s="19">
        <f>Cost_Drivers!B85*Finance_Assumptions!$B$4</f>
        <v>29400</v>
      </c>
      <c r="G85" s="19">
        <f>Cost_Drivers!C85*Finance_Assumptions!$B$5</f>
        <v>339200</v>
      </c>
      <c r="H85" s="19">
        <f>Cost_Drivers!D85*Finance_Assumptions!$B$6</f>
        <v>100000</v>
      </c>
      <c r="I85" s="19">
        <f>Cost_Drivers!E85*Finance_Assumptions!$B$7</f>
        <v>105300</v>
      </c>
      <c r="J85" s="19">
        <f t="shared" si="17"/>
        <v>573900</v>
      </c>
      <c r="K85" s="19">
        <f t="shared" si="10"/>
        <v>239020.07101661112</v>
      </c>
      <c r="L85" s="24">
        <f t="shared" si="11"/>
        <v>2.8516420400683776E-3</v>
      </c>
      <c r="M85" s="20">
        <f t="shared" si="18"/>
        <v>114065.6816027351</v>
      </c>
      <c r="N85" s="7">
        <f>Cost_Drivers!B85+Cost_Drivers!C85+Cost_Drivers!E85</f>
        <v>839</v>
      </c>
      <c r="P85" s="7">
        <f t="shared" si="12"/>
        <v>3.1238597353469011E-3</v>
      </c>
      <c r="Q85" s="20">
        <f t="shared" si="19"/>
        <v>124954.38941387604</v>
      </c>
      <c r="R85" s="19">
        <f t="shared" si="13"/>
        <v>1030481.3289833888</v>
      </c>
      <c r="S85" s="22">
        <f t="shared" si="14"/>
        <v>0.55901082042326156</v>
      </c>
      <c r="T85" s="21">
        <f t="shared" si="15"/>
        <v>0.31132665951105387</v>
      </c>
    </row>
    <row r="86" spans="1:20" x14ac:dyDescent="0.3">
      <c r="A86" s="7" t="s">
        <v>92</v>
      </c>
      <c r="B86" s="7" t="s">
        <v>258</v>
      </c>
      <c r="C86" s="19">
        <v>273066</v>
      </c>
      <c r="D86" s="15">
        <v>0.09</v>
      </c>
      <c r="E86" s="18">
        <f t="shared" si="16"/>
        <v>248490.06</v>
      </c>
      <c r="F86" s="19">
        <f>Cost_Drivers!B86*Finance_Assumptions!$B$4</f>
        <v>7700</v>
      </c>
      <c r="G86" s="19">
        <f>Cost_Drivers!C86*Finance_Assumptions!$B$5</f>
        <v>84800</v>
      </c>
      <c r="H86" s="19">
        <f>Cost_Drivers!D86*Finance_Assumptions!$B$6</f>
        <v>8500</v>
      </c>
      <c r="I86" s="19">
        <f>Cost_Drivers!E86*Finance_Assumptions!$B$7</f>
        <v>16020</v>
      </c>
      <c r="J86" s="19">
        <f t="shared" si="17"/>
        <v>117020</v>
      </c>
      <c r="K86" s="19">
        <f t="shared" si="10"/>
        <v>38162.70261044144</v>
      </c>
      <c r="L86" s="24">
        <f t="shared" si="11"/>
        <v>3.8440065285570116E-4</v>
      </c>
      <c r="M86" s="20">
        <f t="shared" si="18"/>
        <v>15376.026114228047</v>
      </c>
      <c r="N86" s="7">
        <f>Cost_Drivers!B86+Cost_Drivers!C86+Cost_Drivers!E86</f>
        <v>153</v>
      </c>
      <c r="P86" s="7">
        <f t="shared" si="12"/>
        <v>5.696669124053348E-4</v>
      </c>
      <c r="Q86" s="20">
        <f t="shared" si="19"/>
        <v>22786.676496213393</v>
      </c>
      <c r="R86" s="19">
        <f t="shared" si="13"/>
        <v>93307.357389558558</v>
      </c>
      <c r="S86" s="22">
        <f t="shared" si="14"/>
        <v>0.37549734339296531</v>
      </c>
      <c r="T86" s="21">
        <f t="shared" si="15"/>
        <v>0.47092426956635608</v>
      </c>
    </row>
    <row r="87" spans="1:20" x14ac:dyDescent="0.3">
      <c r="A87" s="7" t="s">
        <v>93</v>
      </c>
      <c r="B87" s="7" t="s">
        <v>260</v>
      </c>
      <c r="C87" s="19">
        <v>7941458</v>
      </c>
      <c r="D87" s="15">
        <v>0.23</v>
      </c>
      <c r="E87" s="18">
        <f t="shared" si="16"/>
        <v>6114922.6600000001</v>
      </c>
      <c r="F87" s="19">
        <f>Cost_Drivers!B87*Finance_Assumptions!$B$4</f>
        <v>64400</v>
      </c>
      <c r="G87" s="19">
        <f>Cost_Drivers!C87*Finance_Assumptions!$B$5</f>
        <v>1342400</v>
      </c>
      <c r="H87" s="19">
        <f>Cost_Drivers!D87*Finance_Assumptions!$B$6</f>
        <v>436250</v>
      </c>
      <c r="I87" s="19">
        <f>Cost_Drivers!E87*Finance_Assumptions!$B$7</f>
        <v>305640</v>
      </c>
      <c r="J87" s="19">
        <f t="shared" si="17"/>
        <v>2148690</v>
      </c>
      <c r="K87" s="19">
        <f t="shared" si="10"/>
        <v>769921.7664406359</v>
      </c>
      <c r="L87" s="24">
        <f t="shared" si="11"/>
        <v>9.4594538818418769E-3</v>
      </c>
      <c r="M87" s="20">
        <f t="shared" si="18"/>
        <v>378378.1552736751</v>
      </c>
      <c r="N87" s="7">
        <f>Cost_Drivers!B87+Cost_Drivers!C87+Cost_Drivers!E87</f>
        <v>2629</v>
      </c>
      <c r="P87" s="7">
        <f t="shared" si="12"/>
        <v>9.7885902791740205E-3</v>
      </c>
      <c r="Q87" s="20">
        <f t="shared" si="19"/>
        <v>391543.61116696079</v>
      </c>
      <c r="R87" s="19">
        <f t="shared" si="13"/>
        <v>3196310.8935593641</v>
      </c>
      <c r="S87" s="22">
        <f t="shared" si="14"/>
        <v>0.52270667533828863</v>
      </c>
      <c r="T87" s="21">
        <f t="shared" si="15"/>
        <v>0.35138465676031949</v>
      </c>
    </row>
    <row r="88" spans="1:20" x14ac:dyDescent="0.3">
      <c r="A88" s="7" t="s">
        <v>94</v>
      </c>
      <c r="B88" s="7" t="s">
        <v>258</v>
      </c>
      <c r="C88" s="19">
        <v>455199</v>
      </c>
      <c r="D88" s="15">
        <v>0.03</v>
      </c>
      <c r="E88" s="18">
        <f t="shared" si="16"/>
        <v>441543.02999999997</v>
      </c>
      <c r="F88" s="19">
        <f>Cost_Drivers!B88*Finance_Assumptions!$B$4</f>
        <v>19600</v>
      </c>
      <c r="G88" s="19">
        <f>Cost_Drivers!C88*Finance_Assumptions!$B$5</f>
        <v>70400</v>
      </c>
      <c r="H88" s="19">
        <f>Cost_Drivers!D88*Finance_Assumptions!$B$6</f>
        <v>7000</v>
      </c>
      <c r="I88" s="19">
        <f>Cost_Drivers!E88*Finance_Assumptions!$B$7</f>
        <v>6120</v>
      </c>
      <c r="J88" s="19">
        <f t="shared" si="17"/>
        <v>103120</v>
      </c>
      <c r="K88" s="19">
        <f t="shared" si="10"/>
        <v>43108.573071575724</v>
      </c>
      <c r="L88" s="24">
        <f t="shared" si="11"/>
        <v>6.8304313257393245E-4</v>
      </c>
      <c r="M88" s="20">
        <f t="shared" si="18"/>
        <v>27321.725302957297</v>
      </c>
      <c r="N88" s="7">
        <f>Cost_Drivers!B88+Cost_Drivers!C88+Cost_Drivers!E88</f>
        <v>106</v>
      </c>
      <c r="P88" s="7">
        <f t="shared" si="12"/>
        <v>3.9467119421546069E-4</v>
      </c>
      <c r="Q88" s="20">
        <f t="shared" si="19"/>
        <v>15786.847768618427</v>
      </c>
      <c r="R88" s="19">
        <f t="shared" si="13"/>
        <v>295314.45692842425</v>
      </c>
      <c r="S88" s="22">
        <f t="shared" si="14"/>
        <v>0.66882373146831076</v>
      </c>
      <c r="T88" s="21">
        <f t="shared" si="15"/>
        <v>0.23354462191374645</v>
      </c>
    </row>
    <row r="89" spans="1:20" x14ac:dyDescent="0.3">
      <c r="A89" s="7" t="s">
        <v>95</v>
      </c>
      <c r="B89" s="7" t="s">
        <v>260</v>
      </c>
      <c r="C89" s="19">
        <v>9431334</v>
      </c>
      <c r="D89" s="15">
        <v>0.2</v>
      </c>
      <c r="E89" s="18">
        <f t="shared" si="16"/>
        <v>7545067.2000000002</v>
      </c>
      <c r="F89" s="19">
        <f>Cost_Drivers!B89*Finance_Assumptions!$B$4</f>
        <v>151200</v>
      </c>
      <c r="G89" s="19">
        <f>Cost_Drivers!C89*Finance_Assumptions!$B$5</f>
        <v>1496000</v>
      </c>
      <c r="H89" s="19">
        <f>Cost_Drivers!D89*Finance_Assumptions!$B$6</f>
        <v>155500</v>
      </c>
      <c r="I89" s="19">
        <f>Cost_Drivers!E89*Finance_Assumptions!$B$7</f>
        <v>609480</v>
      </c>
      <c r="J89" s="19">
        <f t="shared" si="17"/>
        <v>2412180</v>
      </c>
      <c r="K89" s="19">
        <f t="shared" si="10"/>
        <v>1142579.2694425192</v>
      </c>
      <c r="L89" s="24">
        <f t="shared" si="11"/>
        <v>1.1671809961010663E-2</v>
      </c>
      <c r="M89" s="20">
        <f t="shared" si="18"/>
        <v>466872.39844042656</v>
      </c>
      <c r="N89" s="7">
        <f>Cost_Drivers!B89+Cost_Drivers!C89+Cost_Drivers!E89</f>
        <v>4537</v>
      </c>
      <c r="P89" s="7">
        <f t="shared" si="12"/>
        <v>1.6892671775052312E-2</v>
      </c>
      <c r="Q89" s="20">
        <f t="shared" si="19"/>
        <v>675706.87100209249</v>
      </c>
      <c r="R89" s="19">
        <f t="shared" si="13"/>
        <v>3990307.930557481</v>
      </c>
      <c r="S89" s="22">
        <f t="shared" si="14"/>
        <v>0.52886313995420486</v>
      </c>
      <c r="T89" s="21">
        <f t="shared" si="15"/>
        <v>0.31970291795413036</v>
      </c>
    </row>
    <row r="90" spans="1:20" x14ac:dyDescent="0.3">
      <c r="A90" s="7" t="s">
        <v>96</v>
      </c>
      <c r="B90" s="7" t="s">
        <v>260</v>
      </c>
      <c r="C90" s="19">
        <v>13574213</v>
      </c>
      <c r="D90" s="15">
        <v>0.28999999999999998</v>
      </c>
      <c r="E90" s="18">
        <f t="shared" si="16"/>
        <v>9637691.2300000004</v>
      </c>
      <c r="F90" s="19">
        <f>Cost_Drivers!B90*Finance_Assumptions!$B$4</f>
        <v>144200</v>
      </c>
      <c r="G90" s="19">
        <f>Cost_Drivers!C90*Finance_Assumptions!$B$5</f>
        <v>630400</v>
      </c>
      <c r="H90" s="19">
        <f>Cost_Drivers!D90*Finance_Assumptions!$B$6</f>
        <v>486000</v>
      </c>
      <c r="I90" s="19">
        <f>Cost_Drivers!E90*Finance_Assumptions!$B$7</f>
        <v>126720</v>
      </c>
      <c r="J90" s="19">
        <f t="shared" si="17"/>
        <v>1387320</v>
      </c>
      <c r="K90" s="19">
        <f t="shared" si="10"/>
        <v>790567.45005979575</v>
      </c>
      <c r="L90" s="24">
        <f t="shared" si="11"/>
        <v>1.4908985900014132E-2</v>
      </c>
      <c r="M90" s="20">
        <f t="shared" si="18"/>
        <v>596359.4360005653</v>
      </c>
      <c r="N90" s="7">
        <f>Cost_Drivers!B90+Cost_Drivers!C90+Cost_Drivers!E90</f>
        <v>1304</v>
      </c>
      <c r="P90" s="7">
        <f t="shared" si="12"/>
        <v>4.8552003514807617E-3</v>
      </c>
      <c r="Q90" s="20">
        <f t="shared" si="19"/>
        <v>194208.01405923045</v>
      </c>
      <c r="R90" s="19">
        <f t="shared" si="13"/>
        <v>7459803.7799402047</v>
      </c>
      <c r="S90" s="22">
        <f t="shared" si="14"/>
        <v>0.77402394431557275</v>
      </c>
      <c r="T90" s="21">
        <f t="shared" si="15"/>
        <v>0.1439473383087414</v>
      </c>
    </row>
    <row r="91" spans="1:20" x14ac:dyDescent="0.3">
      <c r="A91" s="7" t="s">
        <v>97</v>
      </c>
      <c r="B91" s="7" t="s">
        <v>258</v>
      </c>
      <c r="C91" s="19">
        <v>427596</v>
      </c>
      <c r="D91" s="15">
        <v>0.05</v>
      </c>
      <c r="E91" s="18">
        <f t="shared" si="16"/>
        <v>406216.19999999995</v>
      </c>
      <c r="F91" s="19">
        <f>Cost_Drivers!B91*Finance_Assumptions!$B$4</f>
        <v>9800</v>
      </c>
      <c r="G91" s="19">
        <f>Cost_Drivers!C91*Finance_Assumptions!$B$5</f>
        <v>81600</v>
      </c>
      <c r="H91" s="19">
        <f>Cost_Drivers!D91*Finance_Assumptions!$B$6</f>
        <v>19250</v>
      </c>
      <c r="I91" s="19">
        <f>Cost_Drivers!E91*Finance_Assumptions!$B$7</f>
        <v>5040</v>
      </c>
      <c r="J91" s="19">
        <f t="shared" si="17"/>
        <v>115690</v>
      </c>
      <c r="K91" s="19">
        <f t="shared" si="10"/>
        <v>38986.502590448901</v>
      </c>
      <c r="L91" s="24">
        <f t="shared" si="11"/>
        <v>6.2839444153445039E-4</v>
      </c>
      <c r="M91" s="20">
        <f t="shared" si="18"/>
        <v>25135.777661378015</v>
      </c>
      <c r="N91" s="7">
        <f>Cost_Drivers!B91+Cost_Drivers!C91+Cost_Drivers!E91</f>
        <v>93</v>
      </c>
      <c r="P91" s="7">
        <f t="shared" si="12"/>
        <v>3.462681232267721E-4</v>
      </c>
      <c r="Q91" s="20">
        <f t="shared" si="19"/>
        <v>13850.724929070884</v>
      </c>
      <c r="R91" s="19">
        <f t="shared" si="13"/>
        <v>251539.69740955107</v>
      </c>
      <c r="S91" s="22">
        <f t="shared" si="14"/>
        <v>0.61922615939381809</v>
      </c>
      <c r="T91" s="21">
        <f t="shared" si="15"/>
        <v>0.28479907989883224</v>
      </c>
    </row>
    <row r="92" spans="1:20" x14ac:dyDescent="0.3">
      <c r="A92" s="7" t="s">
        <v>98</v>
      </c>
      <c r="B92" s="7" t="s">
        <v>259</v>
      </c>
      <c r="C92" s="19">
        <v>941420</v>
      </c>
      <c r="D92" s="15">
        <v>0.1</v>
      </c>
      <c r="E92" s="18">
        <f t="shared" si="16"/>
        <v>847278</v>
      </c>
      <c r="F92" s="19">
        <f>Cost_Drivers!B92*Finance_Assumptions!$B$4</f>
        <v>15400</v>
      </c>
      <c r="G92" s="19">
        <f>Cost_Drivers!C92*Finance_Assumptions!$B$5</f>
        <v>172800</v>
      </c>
      <c r="H92" s="19">
        <f>Cost_Drivers!D92*Finance_Assumptions!$B$6</f>
        <v>52250</v>
      </c>
      <c r="I92" s="19">
        <f>Cost_Drivers!E92*Finance_Assumptions!$B$7</f>
        <v>34020</v>
      </c>
      <c r="J92" s="19">
        <f t="shared" si="17"/>
        <v>274470</v>
      </c>
      <c r="K92" s="19">
        <f t="shared" si="10"/>
        <v>99937.201327355957</v>
      </c>
      <c r="L92" s="24">
        <f t="shared" si="11"/>
        <v>1.3106931373845407E-3</v>
      </c>
      <c r="M92" s="20">
        <f t="shared" si="18"/>
        <v>52427.72549538163</v>
      </c>
      <c r="N92" s="7">
        <f>Cost_Drivers!B92+Cost_Drivers!C92+Cost_Drivers!E92</f>
        <v>319</v>
      </c>
      <c r="P92" s="7">
        <f t="shared" si="12"/>
        <v>1.1877368957993581E-3</v>
      </c>
      <c r="Q92" s="20">
        <f t="shared" si="19"/>
        <v>47509.475831974327</v>
      </c>
      <c r="R92" s="19">
        <f t="shared" si="13"/>
        <v>472870.79867264407</v>
      </c>
      <c r="S92" s="22">
        <f t="shared" si="14"/>
        <v>0.55810583854725848</v>
      </c>
      <c r="T92" s="21">
        <f t="shared" si="15"/>
        <v>0.32394326301402843</v>
      </c>
    </row>
    <row r="93" spans="1:20" x14ac:dyDescent="0.3">
      <c r="A93" s="7" t="s">
        <v>99</v>
      </c>
      <c r="B93" s="7" t="s">
        <v>258</v>
      </c>
      <c r="C93" s="19">
        <v>337573</v>
      </c>
      <c r="D93" s="15">
        <v>0.01</v>
      </c>
      <c r="E93" s="18">
        <f t="shared" si="16"/>
        <v>334197.27</v>
      </c>
      <c r="F93" s="19">
        <f>Cost_Drivers!B93*Finance_Assumptions!$B$4</f>
        <v>21700</v>
      </c>
      <c r="G93" s="19">
        <f>Cost_Drivers!C93*Finance_Assumptions!$B$5</f>
        <v>155200</v>
      </c>
      <c r="H93" s="19">
        <f>Cost_Drivers!D93*Finance_Assumptions!$B$6</f>
        <v>5250</v>
      </c>
      <c r="I93" s="19">
        <f>Cost_Drivers!E93*Finance_Assumptions!$B$7</f>
        <v>10620</v>
      </c>
      <c r="J93" s="19">
        <f t="shared" si="17"/>
        <v>192770</v>
      </c>
      <c r="K93" s="19">
        <f t="shared" si="10"/>
        <v>48529.784815181876</v>
      </c>
      <c r="L93" s="24">
        <f t="shared" si="11"/>
        <v>5.1698506077302666E-4</v>
      </c>
      <c r="M93" s="20">
        <f t="shared" si="18"/>
        <v>20679.402430921065</v>
      </c>
      <c r="N93" s="7">
        <f>Cost_Drivers!B93+Cost_Drivers!C93+Cost_Drivers!E93</f>
        <v>187</v>
      </c>
      <c r="P93" s="7">
        <f t="shared" si="12"/>
        <v>6.9625955960652026E-4</v>
      </c>
      <c r="Q93" s="20">
        <f t="shared" si="19"/>
        <v>27850.382384260811</v>
      </c>
      <c r="R93" s="19">
        <f t="shared" si="13"/>
        <v>92897.485184818142</v>
      </c>
      <c r="S93" s="22">
        <f t="shared" si="14"/>
        <v>0.27797200493235069</v>
      </c>
      <c r="T93" s="21">
        <f t="shared" si="15"/>
        <v>0.57681500510162753</v>
      </c>
    </row>
    <row r="94" spans="1:20" x14ac:dyDescent="0.3">
      <c r="A94" s="7" t="s">
        <v>100</v>
      </c>
      <c r="B94" s="7" t="s">
        <v>259</v>
      </c>
      <c r="C94" s="19">
        <v>1295727</v>
      </c>
      <c r="D94" s="15">
        <v>0.12</v>
      </c>
      <c r="E94" s="18">
        <f t="shared" si="16"/>
        <v>1140239.76</v>
      </c>
      <c r="F94" s="19">
        <f>Cost_Drivers!B94*Finance_Assumptions!$B$4</f>
        <v>20300</v>
      </c>
      <c r="G94" s="19">
        <f>Cost_Drivers!C94*Finance_Assumptions!$B$5</f>
        <v>427200</v>
      </c>
      <c r="H94" s="19">
        <f>Cost_Drivers!D94*Finance_Assumptions!$B$6</f>
        <v>87750</v>
      </c>
      <c r="I94" s="19">
        <f>Cost_Drivers!E94*Finance_Assumptions!$B$7</f>
        <v>36540</v>
      </c>
      <c r="J94" s="19">
        <f t="shared" si="17"/>
        <v>571790</v>
      </c>
      <c r="K94" s="19">
        <f t="shared" si="10"/>
        <v>144872.89451145843</v>
      </c>
      <c r="L94" s="24">
        <f t="shared" si="11"/>
        <v>1.7638890994514148E-3</v>
      </c>
      <c r="M94" s="20">
        <f t="shared" si="18"/>
        <v>70555.563978056598</v>
      </c>
      <c r="N94" s="7">
        <f>Cost_Drivers!B94+Cost_Drivers!C94+Cost_Drivers!E94</f>
        <v>499</v>
      </c>
      <c r="P94" s="7">
        <f t="shared" si="12"/>
        <v>1.857933263335046E-3</v>
      </c>
      <c r="Q94" s="20">
        <f t="shared" si="19"/>
        <v>74317.330533401837</v>
      </c>
      <c r="R94" s="19">
        <f t="shared" si="13"/>
        <v>423576.86548854155</v>
      </c>
      <c r="S94" s="22">
        <f t="shared" si="14"/>
        <v>0.3714805257172768</v>
      </c>
      <c r="T94" s="21">
        <f t="shared" si="15"/>
        <v>0.50146470949232647</v>
      </c>
    </row>
    <row r="95" spans="1:20" x14ac:dyDescent="0.3">
      <c r="A95" s="7" t="s">
        <v>101</v>
      </c>
      <c r="B95" s="7" t="s">
        <v>259</v>
      </c>
      <c r="C95" s="19">
        <v>2107271</v>
      </c>
      <c r="D95" s="15">
        <v>0.19</v>
      </c>
      <c r="E95" s="18">
        <f t="shared" si="16"/>
        <v>1706889.51</v>
      </c>
      <c r="F95" s="19">
        <f>Cost_Drivers!B95*Finance_Assumptions!$B$4</f>
        <v>41300</v>
      </c>
      <c r="G95" s="19">
        <f>Cost_Drivers!C95*Finance_Assumptions!$B$5</f>
        <v>476800</v>
      </c>
      <c r="H95" s="19">
        <f>Cost_Drivers!D95*Finance_Assumptions!$B$6</f>
        <v>43000</v>
      </c>
      <c r="I95" s="19">
        <f>Cost_Drivers!E95*Finance_Assumptions!$B$7</f>
        <v>55980</v>
      </c>
      <c r="J95" s="19">
        <f t="shared" si="17"/>
        <v>617080</v>
      </c>
      <c r="K95" s="19">
        <f t="shared" si="10"/>
        <v>205105.54929445381</v>
      </c>
      <c r="L95" s="24">
        <f t="shared" si="11"/>
        <v>2.6404655461733477E-3</v>
      </c>
      <c r="M95" s="20">
        <f t="shared" si="18"/>
        <v>105618.62184693391</v>
      </c>
      <c r="N95" s="7">
        <f>Cost_Drivers!B95+Cost_Drivers!C95+Cost_Drivers!E95</f>
        <v>668</v>
      </c>
      <c r="P95" s="7">
        <f t="shared" si="12"/>
        <v>2.4871731861879974E-3</v>
      </c>
      <c r="Q95" s="20">
        <f t="shared" si="19"/>
        <v>99486.927447519891</v>
      </c>
      <c r="R95" s="19">
        <f t="shared" si="13"/>
        <v>884703.9607055462</v>
      </c>
      <c r="S95" s="22">
        <f t="shared" si="14"/>
        <v>0.51831354960143039</v>
      </c>
      <c r="T95" s="21">
        <f t="shared" si="15"/>
        <v>0.36152310760876372</v>
      </c>
    </row>
    <row r="96" spans="1:20" x14ac:dyDescent="0.3">
      <c r="A96" s="7" t="s">
        <v>102</v>
      </c>
      <c r="B96" s="7" t="s">
        <v>259</v>
      </c>
      <c r="C96" s="19">
        <v>2295567</v>
      </c>
      <c r="D96" s="15">
        <v>0.18</v>
      </c>
      <c r="E96" s="18">
        <f t="shared" si="16"/>
        <v>1882364.9400000002</v>
      </c>
      <c r="F96" s="19">
        <f>Cost_Drivers!B96*Finance_Assumptions!$B$4</f>
        <v>50400</v>
      </c>
      <c r="G96" s="19">
        <f>Cost_Drivers!C96*Finance_Assumptions!$B$5</f>
        <v>377600</v>
      </c>
      <c r="H96" s="19">
        <f>Cost_Drivers!D96*Finance_Assumptions!$B$6</f>
        <v>41250</v>
      </c>
      <c r="I96" s="19">
        <f>Cost_Drivers!E96*Finance_Assumptions!$B$7</f>
        <v>28620</v>
      </c>
      <c r="J96" s="19">
        <f t="shared" si="17"/>
        <v>497870</v>
      </c>
      <c r="K96" s="19">
        <f t="shared" si="10"/>
        <v>186028.1506712641</v>
      </c>
      <c r="L96" s="24">
        <f t="shared" si="11"/>
        <v>2.9119165243417901E-3</v>
      </c>
      <c r="M96" s="20">
        <f t="shared" si="18"/>
        <v>116476.66097367161</v>
      </c>
      <c r="N96" s="7">
        <f>Cost_Drivers!B96+Cost_Drivers!C96+Cost_Drivers!E96</f>
        <v>467</v>
      </c>
      <c r="P96" s="7">
        <f t="shared" si="12"/>
        <v>1.7387872424398127E-3</v>
      </c>
      <c r="Q96" s="20">
        <f t="shared" si="19"/>
        <v>69551.489697592508</v>
      </c>
      <c r="R96" s="19">
        <f t="shared" si="13"/>
        <v>1198466.789328736</v>
      </c>
      <c r="S96" s="22">
        <f t="shared" si="14"/>
        <v>0.63668142338474276</v>
      </c>
      <c r="T96" s="21">
        <f t="shared" si="15"/>
        <v>0.26449175153039134</v>
      </c>
    </row>
    <row r="97" spans="1:20" x14ac:dyDescent="0.3">
      <c r="A97" s="7" t="s">
        <v>103</v>
      </c>
      <c r="B97" s="7" t="s">
        <v>258</v>
      </c>
      <c r="C97" s="19">
        <v>150439</v>
      </c>
      <c r="D97" s="15">
        <v>7.0000000000000007E-2</v>
      </c>
      <c r="E97" s="18">
        <f t="shared" si="16"/>
        <v>139908.26999999999</v>
      </c>
      <c r="F97" s="19">
        <f>Cost_Drivers!B97*Finance_Assumptions!$B$4</f>
        <v>9100</v>
      </c>
      <c r="G97" s="19">
        <f>Cost_Drivers!C97*Finance_Assumptions!$B$5</f>
        <v>115200</v>
      </c>
      <c r="H97" s="19">
        <f>Cost_Drivers!D97*Finance_Assumptions!$B$6</f>
        <v>7000</v>
      </c>
      <c r="I97" s="19">
        <f>Cost_Drivers!E97*Finance_Assumptions!$B$7</f>
        <v>9360</v>
      </c>
      <c r="J97" s="19">
        <f t="shared" si="17"/>
        <v>140660</v>
      </c>
      <c r="K97" s="19">
        <f t="shared" si="10"/>
        <v>29060.976464172316</v>
      </c>
      <c r="L97" s="24">
        <f t="shared" si="11"/>
        <v>2.1643050964658992E-4</v>
      </c>
      <c r="M97" s="20">
        <f t="shared" si="18"/>
        <v>8657.2203858635967</v>
      </c>
      <c r="N97" s="7">
        <f>Cost_Drivers!B97+Cost_Drivers!C97+Cost_Drivers!E97</f>
        <v>137</v>
      </c>
      <c r="P97" s="7">
        <f t="shared" si="12"/>
        <v>5.1009390195771802E-4</v>
      </c>
      <c r="Q97" s="20">
        <f t="shared" si="19"/>
        <v>20403.756078308721</v>
      </c>
      <c r="R97" s="19">
        <f t="shared" si="13"/>
        <v>-29812.706464172326</v>
      </c>
      <c r="S97" s="22">
        <f t="shared" si="14"/>
        <v>-0.21308752130358219</v>
      </c>
      <c r="T97" s="21">
        <f t="shared" si="15"/>
        <v>1.0053730204797759</v>
      </c>
    </row>
    <row r="98" spans="1:20" x14ac:dyDescent="0.3">
      <c r="A98" s="7" t="s">
        <v>104</v>
      </c>
      <c r="B98" s="7" t="s">
        <v>258</v>
      </c>
      <c r="C98" s="19">
        <v>452190</v>
      </c>
      <c r="D98" s="15">
        <v>0.03</v>
      </c>
      <c r="E98" s="18">
        <f t="shared" si="16"/>
        <v>438624.3</v>
      </c>
      <c r="F98" s="19">
        <f>Cost_Drivers!B98*Finance_Assumptions!$B$4</f>
        <v>27300</v>
      </c>
      <c r="G98" s="19">
        <f>Cost_Drivers!C98*Finance_Assumptions!$B$5</f>
        <v>176000</v>
      </c>
      <c r="H98" s="19">
        <f>Cost_Drivers!D98*Finance_Assumptions!$B$6</f>
        <v>9750</v>
      </c>
      <c r="I98" s="19">
        <f>Cost_Drivers!E98*Finance_Assumptions!$B$7</f>
        <v>4500</v>
      </c>
      <c r="J98" s="19">
        <f t="shared" si="17"/>
        <v>217550</v>
      </c>
      <c r="K98" s="19">
        <f t="shared" si="10"/>
        <v>53055.380163924339</v>
      </c>
      <c r="L98" s="24">
        <f t="shared" si="11"/>
        <v>6.7852801548027686E-4</v>
      </c>
      <c r="M98" s="20">
        <f t="shared" si="18"/>
        <v>27141.120619211073</v>
      </c>
      <c r="N98" s="7">
        <f>Cost_Drivers!B98+Cost_Drivers!C98+Cost_Drivers!E98</f>
        <v>174</v>
      </c>
      <c r="P98" s="7">
        <f t="shared" si="12"/>
        <v>6.4785648861783167E-4</v>
      </c>
      <c r="Q98" s="20">
        <f t="shared" si="19"/>
        <v>25914.259544713266</v>
      </c>
      <c r="R98" s="19">
        <f t="shared" si="13"/>
        <v>168018.91983607566</v>
      </c>
      <c r="S98" s="22">
        <f t="shared" si="14"/>
        <v>0.38305884976294213</v>
      </c>
      <c r="T98" s="21">
        <f t="shared" si="15"/>
        <v>0.49598255272222719</v>
      </c>
    </row>
    <row r="99" spans="1:20" x14ac:dyDescent="0.3">
      <c r="A99" s="7" t="s">
        <v>105</v>
      </c>
      <c r="B99" s="7" t="s">
        <v>259</v>
      </c>
      <c r="C99" s="19">
        <v>2323448</v>
      </c>
      <c r="D99" s="15">
        <v>0.2</v>
      </c>
      <c r="E99" s="18">
        <f t="shared" si="16"/>
        <v>1858758.4000000001</v>
      </c>
      <c r="F99" s="19">
        <f>Cost_Drivers!B99*Finance_Assumptions!$B$4</f>
        <v>37100</v>
      </c>
      <c r="G99" s="19">
        <f>Cost_Drivers!C99*Finance_Assumptions!$B$5</f>
        <v>132800</v>
      </c>
      <c r="H99" s="19">
        <f>Cost_Drivers!D99*Finance_Assumptions!$B$6</f>
        <v>21250</v>
      </c>
      <c r="I99" s="19">
        <f>Cost_Drivers!E99*Finance_Assumptions!$B$7</f>
        <v>70200</v>
      </c>
      <c r="J99" s="19">
        <f t="shared" si="17"/>
        <v>261350</v>
      </c>
      <c r="K99" s="19">
        <f t="shared" si="10"/>
        <v>193354.44820291788</v>
      </c>
      <c r="L99" s="24">
        <f t="shared" si="11"/>
        <v>2.8753984866075472E-3</v>
      </c>
      <c r="M99" s="20">
        <f t="shared" si="18"/>
        <v>115015.93946430189</v>
      </c>
      <c r="N99" s="7">
        <f>Cost_Drivers!B99+Cost_Drivers!C99+Cost_Drivers!E99</f>
        <v>526</v>
      </c>
      <c r="P99" s="7">
        <f t="shared" si="12"/>
        <v>1.9584627184653994E-3</v>
      </c>
      <c r="Q99" s="20">
        <f t="shared" si="19"/>
        <v>78338.508738615972</v>
      </c>
      <c r="R99" s="19">
        <f t="shared" si="13"/>
        <v>1404053.9517970823</v>
      </c>
      <c r="S99" s="22">
        <f t="shared" si="14"/>
        <v>0.75537194710032363</v>
      </c>
      <c r="T99" s="21">
        <f t="shared" si="15"/>
        <v>0.14060461004507094</v>
      </c>
    </row>
    <row r="100" spans="1:20" x14ac:dyDescent="0.3">
      <c r="A100" s="7" t="s">
        <v>106</v>
      </c>
      <c r="B100" s="7" t="s">
        <v>260</v>
      </c>
      <c r="C100" s="19">
        <v>6358788</v>
      </c>
      <c r="D100" s="15">
        <v>0.27</v>
      </c>
      <c r="E100" s="18">
        <f t="shared" si="16"/>
        <v>4641915.24</v>
      </c>
      <c r="F100" s="19">
        <f>Cost_Drivers!B100*Finance_Assumptions!$B$4</f>
        <v>39900</v>
      </c>
      <c r="G100" s="19">
        <f>Cost_Drivers!C100*Finance_Assumptions!$B$5</f>
        <v>1337600</v>
      </c>
      <c r="H100" s="19">
        <f>Cost_Drivers!D100*Finance_Assumptions!$B$6</f>
        <v>161000</v>
      </c>
      <c r="I100" s="19">
        <f>Cost_Drivers!E100*Finance_Assumptions!$B$7</f>
        <v>94140</v>
      </c>
      <c r="J100" s="19">
        <f t="shared" si="17"/>
        <v>1632640</v>
      </c>
      <c r="K100" s="19">
        <f t="shared" si="10"/>
        <v>498120.10701625113</v>
      </c>
      <c r="L100" s="24">
        <f t="shared" si="11"/>
        <v>7.1807912507922001E-3</v>
      </c>
      <c r="M100" s="20">
        <f t="shared" si="18"/>
        <v>287231.65003168798</v>
      </c>
      <c r="N100" s="7">
        <f>Cost_Drivers!B100+Cost_Drivers!C100+Cost_Drivers!E100</f>
        <v>1416</v>
      </c>
      <c r="P100" s="7">
        <f t="shared" si="12"/>
        <v>5.2722114246140789E-3</v>
      </c>
      <c r="Q100" s="20">
        <f t="shared" si="19"/>
        <v>210888.45698456315</v>
      </c>
      <c r="R100" s="19">
        <f t="shared" si="13"/>
        <v>2511155.1329837493</v>
      </c>
      <c r="S100" s="22">
        <f t="shared" si="14"/>
        <v>0.540973930619153</v>
      </c>
      <c r="T100" s="21">
        <f t="shared" si="15"/>
        <v>0.35171689175436127</v>
      </c>
    </row>
    <row r="101" spans="1:20" x14ac:dyDescent="0.3">
      <c r="A101" s="7" t="s">
        <v>107</v>
      </c>
      <c r="B101" s="7" t="s">
        <v>260</v>
      </c>
      <c r="C101" s="19">
        <v>10634051</v>
      </c>
      <c r="D101" s="15">
        <v>0.25</v>
      </c>
      <c r="E101" s="18">
        <f t="shared" si="16"/>
        <v>7975538.25</v>
      </c>
      <c r="F101" s="19">
        <f>Cost_Drivers!B101*Finance_Assumptions!$B$4</f>
        <v>112700</v>
      </c>
      <c r="G101" s="19">
        <f>Cost_Drivers!C101*Finance_Assumptions!$B$5</f>
        <v>1697600</v>
      </c>
      <c r="H101" s="19">
        <f>Cost_Drivers!D101*Finance_Assumptions!$B$6</f>
        <v>498500</v>
      </c>
      <c r="I101" s="19">
        <f>Cost_Drivers!E101*Finance_Assumptions!$B$7</f>
        <v>121320</v>
      </c>
      <c r="J101" s="19">
        <f t="shared" si="17"/>
        <v>2430120</v>
      </c>
      <c r="K101" s="19">
        <f t="shared" si="10"/>
        <v>775885.08314995328</v>
      </c>
      <c r="L101" s="24">
        <f t="shared" si="11"/>
        <v>1.233772534070625E-2</v>
      </c>
      <c r="M101" s="20">
        <f t="shared" si="18"/>
        <v>493509.01362825005</v>
      </c>
      <c r="N101" s="7">
        <f>Cost_Drivers!B101+Cost_Drivers!C101+Cost_Drivers!E101</f>
        <v>1896</v>
      </c>
      <c r="P101" s="7">
        <f t="shared" si="12"/>
        <v>7.05940173804258E-3</v>
      </c>
      <c r="Q101" s="20">
        <f t="shared" si="19"/>
        <v>282376.06952170318</v>
      </c>
      <c r="R101" s="19">
        <f t="shared" si="13"/>
        <v>4769533.1668500472</v>
      </c>
      <c r="S101" s="22">
        <f t="shared" si="14"/>
        <v>0.59802022350655104</v>
      </c>
      <c r="T101" s="21">
        <f t="shared" si="15"/>
        <v>0.30469667674153528</v>
      </c>
    </row>
    <row r="102" spans="1:20" x14ac:dyDescent="0.3">
      <c r="A102" s="7" t="s">
        <v>108</v>
      </c>
      <c r="B102" s="7" t="s">
        <v>259</v>
      </c>
      <c r="C102" s="19">
        <v>1179256</v>
      </c>
      <c r="D102" s="15">
        <v>0.02</v>
      </c>
      <c r="E102" s="18">
        <f t="shared" si="16"/>
        <v>1155670.8799999999</v>
      </c>
      <c r="F102" s="19">
        <f>Cost_Drivers!B102*Finance_Assumptions!$B$4</f>
        <v>12600</v>
      </c>
      <c r="G102" s="19">
        <f>Cost_Drivers!C102*Finance_Assumptions!$B$5</f>
        <v>225600</v>
      </c>
      <c r="H102" s="19">
        <f>Cost_Drivers!D102*Finance_Assumptions!$B$6</f>
        <v>82000</v>
      </c>
      <c r="I102" s="19">
        <f>Cost_Drivers!E102*Finance_Assumptions!$B$7</f>
        <v>81360</v>
      </c>
      <c r="J102" s="19">
        <f t="shared" si="17"/>
        <v>401560</v>
      </c>
      <c r="K102" s="19">
        <f t="shared" si="10"/>
        <v>162508.18168324418</v>
      </c>
      <c r="L102" s="24">
        <f t="shared" si="11"/>
        <v>1.7877602056127421E-3</v>
      </c>
      <c r="M102" s="20">
        <f t="shared" si="18"/>
        <v>71510.40822450968</v>
      </c>
      <c r="N102" s="7">
        <f>Cost_Drivers!B102+Cost_Drivers!C102+Cost_Drivers!E102</f>
        <v>611</v>
      </c>
      <c r="P102" s="7">
        <f t="shared" si="12"/>
        <v>2.2749443364683628E-3</v>
      </c>
      <c r="Q102" s="20">
        <f t="shared" si="19"/>
        <v>90997.773458734518</v>
      </c>
      <c r="R102" s="19">
        <f t="shared" si="13"/>
        <v>591602.6983167557</v>
      </c>
      <c r="S102" s="22">
        <f t="shared" si="14"/>
        <v>0.5119127846474385</v>
      </c>
      <c r="T102" s="21">
        <f t="shared" si="15"/>
        <v>0.34746916873080685</v>
      </c>
    </row>
    <row r="103" spans="1:20" x14ac:dyDescent="0.3">
      <c r="A103" s="7" t="s">
        <v>109</v>
      </c>
      <c r="B103" s="7" t="s">
        <v>259</v>
      </c>
      <c r="C103" s="19">
        <v>2406221</v>
      </c>
      <c r="D103" s="15">
        <v>0.18</v>
      </c>
      <c r="E103" s="18">
        <f t="shared" si="16"/>
        <v>1973101.2200000002</v>
      </c>
      <c r="F103" s="19">
        <f>Cost_Drivers!B103*Finance_Assumptions!$B$4</f>
        <v>47600</v>
      </c>
      <c r="G103" s="19">
        <f>Cost_Drivers!C103*Finance_Assumptions!$B$5</f>
        <v>81600</v>
      </c>
      <c r="H103" s="19">
        <f>Cost_Drivers!D103*Finance_Assumptions!$B$6</f>
        <v>88000</v>
      </c>
      <c r="I103" s="19">
        <f>Cost_Drivers!E103*Finance_Assumptions!$B$7</f>
        <v>77400</v>
      </c>
      <c r="J103" s="19">
        <f t="shared" si="17"/>
        <v>294600</v>
      </c>
      <c r="K103" s="19">
        <f t="shared" si="10"/>
        <v>203855.18207683516</v>
      </c>
      <c r="L103" s="24">
        <f t="shared" si="11"/>
        <v>3.0522806309370306E-3</v>
      </c>
      <c r="M103" s="20">
        <f t="shared" si="18"/>
        <v>122091.22523748122</v>
      </c>
      <c r="N103" s="7">
        <f>Cost_Drivers!B103+Cost_Drivers!C103+Cost_Drivers!E103</f>
        <v>549</v>
      </c>
      <c r="P103" s="7">
        <f t="shared" si="12"/>
        <v>2.0440989209838485E-3</v>
      </c>
      <c r="Q103" s="20">
        <f t="shared" si="19"/>
        <v>81763.956839353938</v>
      </c>
      <c r="R103" s="19">
        <f t="shared" si="13"/>
        <v>1474646.0379231651</v>
      </c>
      <c r="S103" s="22">
        <f t="shared" si="14"/>
        <v>0.74737475349752458</v>
      </c>
      <c r="T103" s="21">
        <f t="shared" si="15"/>
        <v>0.14930810290614485</v>
      </c>
    </row>
    <row r="104" spans="1:20" x14ac:dyDescent="0.3">
      <c r="A104" s="7" t="s">
        <v>110</v>
      </c>
      <c r="B104" s="7" t="s">
        <v>258</v>
      </c>
      <c r="C104" s="19">
        <v>317626</v>
      </c>
      <c r="D104" s="15">
        <v>0.03</v>
      </c>
      <c r="E104" s="18">
        <f t="shared" si="16"/>
        <v>308097.21999999997</v>
      </c>
      <c r="F104" s="19">
        <f>Cost_Drivers!B104*Finance_Assumptions!$B$4</f>
        <v>16800</v>
      </c>
      <c r="G104" s="19">
        <f>Cost_Drivers!C104*Finance_Assumptions!$B$5</f>
        <v>20800</v>
      </c>
      <c r="H104" s="19">
        <f>Cost_Drivers!D104*Finance_Assumptions!$B$6</f>
        <v>13000</v>
      </c>
      <c r="I104" s="19">
        <f>Cost_Drivers!E104*Finance_Assumptions!$B$7</f>
        <v>10980</v>
      </c>
      <c r="J104" s="19">
        <f t="shared" si="17"/>
        <v>61580</v>
      </c>
      <c r="K104" s="19">
        <f t="shared" si="10"/>
        <v>33659.775489070846</v>
      </c>
      <c r="L104" s="24">
        <f t="shared" si="11"/>
        <v>4.7660969823511888E-4</v>
      </c>
      <c r="M104" s="20">
        <f t="shared" si="18"/>
        <v>19064.387929404755</v>
      </c>
      <c r="N104" s="7">
        <f>Cost_Drivers!B104+Cost_Drivers!C104+Cost_Drivers!E104</f>
        <v>98</v>
      </c>
      <c r="P104" s="7">
        <f t="shared" si="12"/>
        <v>3.6488468899165236E-4</v>
      </c>
      <c r="Q104" s="20">
        <f t="shared" si="19"/>
        <v>14595.387559666095</v>
      </c>
      <c r="R104" s="19">
        <f t="shared" si="13"/>
        <v>212857.44451092911</v>
      </c>
      <c r="S104" s="22">
        <f t="shared" si="14"/>
        <v>0.69087752401962321</v>
      </c>
      <c r="T104" s="21">
        <f t="shared" si="15"/>
        <v>0.19987197547579302</v>
      </c>
    </row>
    <row r="105" spans="1:20" x14ac:dyDescent="0.3">
      <c r="A105" s="7" t="s">
        <v>111</v>
      </c>
      <c r="B105" s="7" t="s">
        <v>259</v>
      </c>
      <c r="C105" s="19">
        <v>1594384</v>
      </c>
      <c r="D105" s="15">
        <v>0.01</v>
      </c>
      <c r="E105" s="18">
        <f t="shared" si="16"/>
        <v>1578440.16</v>
      </c>
      <c r="F105" s="19">
        <f>Cost_Drivers!B105*Finance_Assumptions!$B$4</f>
        <v>51800</v>
      </c>
      <c r="G105" s="19">
        <f>Cost_Drivers!C105*Finance_Assumptions!$B$5</f>
        <v>436800</v>
      </c>
      <c r="H105" s="19">
        <f>Cost_Drivers!D105*Finance_Assumptions!$B$6</f>
        <v>41000</v>
      </c>
      <c r="I105" s="19">
        <f>Cost_Drivers!E105*Finance_Assumptions!$B$7</f>
        <v>61020</v>
      </c>
      <c r="J105" s="19">
        <f t="shared" si="17"/>
        <v>590620</v>
      </c>
      <c r="K105" s="19">
        <f t="shared" si="10"/>
        <v>199838.16750206854</v>
      </c>
      <c r="L105" s="24">
        <f t="shared" si="11"/>
        <v>2.4417613646101474E-3</v>
      </c>
      <c r="M105" s="20">
        <f t="shared" si="18"/>
        <v>97670.454584405888</v>
      </c>
      <c r="N105" s="7">
        <f>Cost_Drivers!B105+Cost_Drivers!C105+Cost_Drivers!E105</f>
        <v>686</v>
      </c>
      <c r="P105" s="7">
        <f t="shared" si="12"/>
        <v>2.5541928229415663E-3</v>
      </c>
      <c r="Q105" s="20">
        <f t="shared" si="19"/>
        <v>102167.71291766265</v>
      </c>
      <c r="R105" s="19">
        <f t="shared" si="13"/>
        <v>787981.99249793135</v>
      </c>
      <c r="S105" s="22">
        <f t="shared" si="14"/>
        <v>0.49921562594931151</v>
      </c>
      <c r="T105" s="21">
        <f t="shared" si="15"/>
        <v>0.37417953177268376</v>
      </c>
    </row>
    <row r="106" spans="1:20" x14ac:dyDescent="0.3">
      <c r="A106" s="7" t="s">
        <v>112</v>
      </c>
      <c r="B106" s="7" t="s">
        <v>258</v>
      </c>
      <c r="C106" s="19">
        <v>576805</v>
      </c>
      <c r="D106" s="15">
        <v>0.05</v>
      </c>
      <c r="E106" s="18">
        <f t="shared" si="16"/>
        <v>547964.75</v>
      </c>
      <c r="F106" s="19">
        <f>Cost_Drivers!B106*Finance_Assumptions!$B$4</f>
        <v>11200</v>
      </c>
      <c r="G106" s="19">
        <f>Cost_Drivers!C106*Finance_Assumptions!$B$5</f>
        <v>137600</v>
      </c>
      <c r="H106" s="19">
        <f>Cost_Drivers!D106*Finance_Assumptions!$B$6</f>
        <v>14500</v>
      </c>
      <c r="I106" s="19">
        <f>Cost_Drivers!E106*Finance_Assumptions!$B$7</f>
        <v>7020</v>
      </c>
      <c r="J106" s="19">
        <f t="shared" si="17"/>
        <v>170320</v>
      </c>
      <c r="K106" s="19">
        <f t="shared" si="10"/>
        <v>54906.356766165336</v>
      </c>
      <c r="L106" s="24">
        <f t="shared" si="11"/>
        <v>8.476717645845113E-4</v>
      </c>
      <c r="M106" s="20">
        <f t="shared" si="18"/>
        <v>33906.870583380449</v>
      </c>
      <c r="N106" s="7">
        <f>Cost_Drivers!B106+Cost_Drivers!C106+Cost_Drivers!E106</f>
        <v>141</v>
      </c>
      <c r="P106" s="7">
        <f t="shared" si="12"/>
        <v>5.2498715456962227E-4</v>
      </c>
      <c r="Q106" s="20">
        <f t="shared" si="19"/>
        <v>20999.486182784891</v>
      </c>
      <c r="R106" s="19">
        <f t="shared" si="13"/>
        <v>322738.39323383465</v>
      </c>
      <c r="S106" s="22">
        <f t="shared" si="14"/>
        <v>0.58897655959408823</v>
      </c>
      <c r="T106" s="21">
        <f t="shared" si="15"/>
        <v>0.31082291333520995</v>
      </c>
    </row>
    <row r="107" spans="1:20" x14ac:dyDescent="0.3">
      <c r="A107" s="7" t="s">
        <v>113</v>
      </c>
      <c r="B107" s="7" t="s">
        <v>259</v>
      </c>
      <c r="C107" s="19">
        <v>1799816</v>
      </c>
      <c r="D107" s="15">
        <v>0.09</v>
      </c>
      <c r="E107" s="18">
        <f t="shared" si="16"/>
        <v>1637832.56</v>
      </c>
      <c r="F107" s="19">
        <f>Cost_Drivers!B107*Finance_Assumptions!$B$4</f>
        <v>39900</v>
      </c>
      <c r="G107" s="19">
        <f>Cost_Drivers!C107*Finance_Assumptions!$B$5</f>
        <v>438400</v>
      </c>
      <c r="H107" s="19">
        <f>Cost_Drivers!D107*Finance_Assumptions!$B$6</f>
        <v>97500</v>
      </c>
      <c r="I107" s="19">
        <f>Cost_Drivers!E107*Finance_Assumptions!$B$7</f>
        <v>105300</v>
      </c>
      <c r="J107" s="19">
        <f t="shared" si="17"/>
        <v>681100</v>
      </c>
      <c r="K107" s="19">
        <f t="shared" si="10"/>
        <v>237767.72144148688</v>
      </c>
      <c r="L107" s="24">
        <f t="shared" si="11"/>
        <v>2.5336381879111154E-3</v>
      </c>
      <c r="M107" s="20">
        <f t="shared" si="18"/>
        <v>101345.52751644462</v>
      </c>
      <c r="N107" s="7">
        <f>Cost_Drivers!B107+Cost_Drivers!C107+Cost_Drivers!E107</f>
        <v>916</v>
      </c>
      <c r="P107" s="7">
        <f t="shared" si="12"/>
        <v>3.4105548481260565E-3</v>
      </c>
      <c r="Q107" s="20">
        <f t="shared" si="19"/>
        <v>136422.19392504226</v>
      </c>
      <c r="R107" s="19">
        <f t="shared" si="13"/>
        <v>718964.83855851321</v>
      </c>
      <c r="S107" s="22">
        <f t="shared" si="14"/>
        <v>0.43897334569933888</v>
      </c>
      <c r="T107" s="21">
        <f t="shared" si="15"/>
        <v>0.41585447538056025</v>
      </c>
    </row>
    <row r="108" spans="1:20" x14ac:dyDescent="0.3">
      <c r="A108" s="7" t="s">
        <v>114</v>
      </c>
      <c r="B108" s="7" t="s">
        <v>259</v>
      </c>
      <c r="C108" s="19">
        <v>1327921</v>
      </c>
      <c r="D108" s="15">
        <v>0.14000000000000001</v>
      </c>
      <c r="E108" s="18">
        <f t="shared" si="16"/>
        <v>1142012.06</v>
      </c>
      <c r="F108" s="19">
        <f>Cost_Drivers!B108*Finance_Assumptions!$B$4</f>
        <v>20300</v>
      </c>
      <c r="G108" s="19">
        <f>Cost_Drivers!C108*Finance_Assumptions!$B$5</f>
        <v>278400</v>
      </c>
      <c r="H108" s="19">
        <f>Cost_Drivers!D108*Finance_Assumptions!$B$6</f>
        <v>76750</v>
      </c>
      <c r="I108" s="19">
        <f>Cost_Drivers!E108*Finance_Assumptions!$B$7</f>
        <v>74340</v>
      </c>
      <c r="J108" s="19">
        <f t="shared" si="17"/>
        <v>449790</v>
      </c>
      <c r="K108" s="19">
        <f t="shared" si="10"/>
        <v>162407.66614852555</v>
      </c>
      <c r="L108" s="24">
        <f t="shared" si="11"/>
        <v>1.766630751479895E-3</v>
      </c>
      <c r="M108" s="20">
        <f t="shared" si="18"/>
        <v>70665.230059195805</v>
      </c>
      <c r="N108" s="7">
        <f>Cost_Drivers!B108+Cost_Drivers!C108+Cost_Drivers!E108</f>
        <v>616</v>
      </c>
      <c r="P108" s="7">
        <f t="shared" si="12"/>
        <v>2.293560902233243E-3</v>
      </c>
      <c r="Q108" s="20">
        <f t="shared" si="19"/>
        <v>91742.436089329727</v>
      </c>
      <c r="R108" s="19">
        <f t="shared" si="13"/>
        <v>529814.39385147451</v>
      </c>
      <c r="S108" s="22">
        <f t="shared" si="14"/>
        <v>0.46393064697712078</v>
      </c>
      <c r="T108" s="21">
        <f t="shared" si="15"/>
        <v>0.39385748693406963</v>
      </c>
    </row>
    <row r="109" spans="1:20" x14ac:dyDescent="0.3">
      <c r="A109" s="7" t="s">
        <v>115</v>
      </c>
      <c r="B109" s="7" t="s">
        <v>258</v>
      </c>
      <c r="C109" s="19">
        <v>454001</v>
      </c>
      <c r="D109" s="15">
        <v>0.01</v>
      </c>
      <c r="E109" s="18">
        <f t="shared" si="16"/>
        <v>449460.99</v>
      </c>
      <c r="F109" s="19">
        <f>Cost_Drivers!B109*Finance_Assumptions!$B$4</f>
        <v>9800</v>
      </c>
      <c r="G109" s="19">
        <f>Cost_Drivers!C109*Finance_Assumptions!$B$5</f>
        <v>132800</v>
      </c>
      <c r="H109" s="19">
        <f>Cost_Drivers!D109*Finance_Assumptions!$B$6</f>
        <v>17500</v>
      </c>
      <c r="I109" s="19">
        <f>Cost_Drivers!E109*Finance_Assumptions!$B$7</f>
        <v>8640</v>
      </c>
      <c r="J109" s="19">
        <f t="shared" si="17"/>
        <v>168740</v>
      </c>
      <c r="K109" s="19">
        <f t="shared" si="10"/>
        <v>49406.887786582971</v>
      </c>
      <c r="L109" s="24">
        <f t="shared" si="11"/>
        <v>6.9529178748304775E-4</v>
      </c>
      <c r="M109" s="20">
        <f t="shared" si="18"/>
        <v>27811.67149932191</v>
      </c>
      <c r="N109" s="7">
        <f>Cost_Drivers!B109+Cost_Drivers!C109+Cost_Drivers!E109</f>
        <v>145</v>
      </c>
      <c r="P109" s="7">
        <f t="shared" si="12"/>
        <v>5.3988040718152641E-4</v>
      </c>
      <c r="Q109" s="20">
        <f t="shared" si="19"/>
        <v>21595.216287261057</v>
      </c>
      <c r="R109" s="19">
        <f t="shared" si="13"/>
        <v>231314.10221341701</v>
      </c>
      <c r="S109" s="22">
        <f t="shared" si="14"/>
        <v>0.51464778336695471</v>
      </c>
      <c r="T109" s="21">
        <f t="shared" si="15"/>
        <v>0.37542746479510936</v>
      </c>
    </row>
    <row r="110" spans="1:20" x14ac:dyDescent="0.3">
      <c r="A110" s="7" t="s">
        <v>116</v>
      </c>
      <c r="B110" s="7" t="s">
        <v>258</v>
      </c>
      <c r="C110" s="19">
        <v>232807</v>
      </c>
      <c r="D110" s="15">
        <v>0.06</v>
      </c>
      <c r="E110" s="18">
        <f t="shared" si="16"/>
        <v>218838.58</v>
      </c>
      <c r="F110" s="19">
        <f>Cost_Drivers!B110*Finance_Assumptions!$B$4</f>
        <v>4200</v>
      </c>
      <c r="G110" s="19">
        <f>Cost_Drivers!C110*Finance_Assumptions!$B$5</f>
        <v>140800</v>
      </c>
      <c r="H110" s="19">
        <f>Cost_Drivers!D110*Finance_Assumptions!$B$6</f>
        <v>8750</v>
      </c>
      <c r="I110" s="19">
        <f>Cost_Drivers!E110*Finance_Assumptions!$B$7</f>
        <v>4500</v>
      </c>
      <c r="J110" s="19">
        <f t="shared" si="17"/>
        <v>158250</v>
      </c>
      <c r="K110" s="19">
        <f t="shared" si="10"/>
        <v>31264.227433008717</v>
      </c>
      <c r="L110" s="24">
        <f t="shared" si="11"/>
        <v>3.3853142062106867E-4</v>
      </c>
      <c r="M110" s="20">
        <f t="shared" si="18"/>
        <v>13541.256824842747</v>
      </c>
      <c r="N110" s="7">
        <f>Cost_Drivers!B110+Cost_Drivers!C110+Cost_Drivers!E110</f>
        <v>119</v>
      </c>
      <c r="P110" s="7">
        <f t="shared" si="12"/>
        <v>4.4307426520414928E-4</v>
      </c>
      <c r="Q110" s="20">
        <f t="shared" si="19"/>
        <v>17722.970608165971</v>
      </c>
      <c r="R110" s="19">
        <f t="shared" si="13"/>
        <v>29324.352566991271</v>
      </c>
      <c r="S110" s="22">
        <f t="shared" si="14"/>
        <v>0.1339999216179856</v>
      </c>
      <c r="T110" s="21">
        <f t="shared" si="15"/>
        <v>0.72313574690532179</v>
      </c>
    </row>
    <row r="111" spans="1:20" x14ac:dyDescent="0.3">
      <c r="A111" s="7" t="s">
        <v>117</v>
      </c>
      <c r="B111" s="7" t="s">
        <v>258</v>
      </c>
      <c r="C111" s="19">
        <v>240097</v>
      </c>
      <c r="D111" s="15">
        <v>0.08</v>
      </c>
      <c r="E111" s="18">
        <f t="shared" si="16"/>
        <v>220889.24000000002</v>
      </c>
      <c r="F111" s="19">
        <f>Cost_Drivers!B111*Finance_Assumptions!$B$4</f>
        <v>23800</v>
      </c>
      <c r="G111" s="19">
        <f>Cost_Drivers!C111*Finance_Assumptions!$B$5</f>
        <v>38400</v>
      </c>
      <c r="H111" s="19">
        <f>Cost_Drivers!D111*Finance_Assumptions!$B$6</f>
        <v>11750</v>
      </c>
      <c r="I111" s="19">
        <f>Cost_Drivers!E111*Finance_Assumptions!$B$7</f>
        <v>3960</v>
      </c>
      <c r="J111" s="19">
        <f t="shared" si="17"/>
        <v>77910</v>
      </c>
      <c r="K111" s="19">
        <f t="shared" si="10"/>
        <v>25582.749308740022</v>
      </c>
      <c r="L111" s="24">
        <f t="shared" si="11"/>
        <v>3.4170368048041708E-4</v>
      </c>
      <c r="M111" s="20">
        <f t="shared" si="18"/>
        <v>13668.147219216684</v>
      </c>
      <c r="N111" s="7">
        <f>Cost_Drivers!B111+Cost_Drivers!C111+Cost_Drivers!E111</f>
        <v>80</v>
      </c>
      <c r="P111" s="7">
        <f t="shared" si="12"/>
        <v>2.9786505223808351E-4</v>
      </c>
      <c r="Q111" s="20">
        <f t="shared" si="19"/>
        <v>11914.60208952334</v>
      </c>
      <c r="R111" s="19">
        <f t="shared" si="13"/>
        <v>117396.49069126</v>
      </c>
      <c r="S111" s="22">
        <f t="shared" si="14"/>
        <v>0.53147220159415631</v>
      </c>
      <c r="T111" s="21">
        <f t="shared" si="15"/>
        <v>0.352710706958836</v>
      </c>
    </row>
    <row r="112" spans="1:20" x14ac:dyDescent="0.3">
      <c r="A112" s="7" t="s">
        <v>118</v>
      </c>
      <c r="B112" s="7" t="s">
        <v>260</v>
      </c>
      <c r="C112" s="19">
        <v>12751375</v>
      </c>
      <c r="D112" s="15">
        <v>0.25</v>
      </c>
      <c r="E112" s="18">
        <f t="shared" si="16"/>
        <v>9563531.25</v>
      </c>
      <c r="F112" s="19">
        <f>Cost_Drivers!B112*Finance_Assumptions!$B$4</f>
        <v>161700</v>
      </c>
      <c r="G112" s="19">
        <f>Cost_Drivers!C112*Finance_Assumptions!$B$5</f>
        <v>1116800</v>
      </c>
      <c r="H112" s="19">
        <f>Cost_Drivers!D112*Finance_Assumptions!$B$6</f>
        <v>375500</v>
      </c>
      <c r="I112" s="19">
        <f>Cost_Drivers!E112*Finance_Assumptions!$B$7</f>
        <v>473580</v>
      </c>
      <c r="J112" s="19">
        <f t="shared" si="17"/>
        <v>2127580</v>
      </c>
      <c r="K112" s="19">
        <f t="shared" si="10"/>
        <v>1121970.370222315</v>
      </c>
      <c r="L112" s="24">
        <f t="shared" si="11"/>
        <v>1.4794264430963154E-2</v>
      </c>
      <c r="M112" s="20">
        <f t="shared" si="18"/>
        <v>591770.5772385262</v>
      </c>
      <c r="N112" s="7">
        <f>Cost_Drivers!B112+Cost_Drivers!C112+Cost_Drivers!E112</f>
        <v>3560</v>
      </c>
      <c r="P112" s="7">
        <f t="shared" si="12"/>
        <v>1.3254994824594718E-2</v>
      </c>
      <c r="Q112" s="20">
        <f t="shared" si="19"/>
        <v>530199.79298378876</v>
      </c>
      <c r="R112" s="19">
        <f t="shared" si="13"/>
        <v>6313980.8797776848</v>
      </c>
      <c r="S112" s="22">
        <f t="shared" si="14"/>
        <v>0.66021438260869225</v>
      </c>
      <c r="T112" s="21">
        <f t="shared" si="15"/>
        <v>0.2224680344930122</v>
      </c>
    </row>
    <row r="113" spans="1:20" x14ac:dyDescent="0.3">
      <c r="A113" s="7" t="s">
        <v>119</v>
      </c>
      <c r="B113" s="7" t="s">
        <v>258</v>
      </c>
      <c r="C113" s="19">
        <v>469543</v>
      </c>
      <c r="D113" s="15">
        <v>0.01</v>
      </c>
      <c r="E113" s="18">
        <f t="shared" si="16"/>
        <v>464847.57</v>
      </c>
      <c r="F113" s="19">
        <f>Cost_Drivers!B113*Finance_Assumptions!$B$4</f>
        <v>28000</v>
      </c>
      <c r="G113" s="19">
        <f>Cost_Drivers!C113*Finance_Assumptions!$B$5</f>
        <v>27200</v>
      </c>
      <c r="H113" s="19">
        <f>Cost_Drivers!D113*Finance_Assumptions!$B$6</f>
        <v>20000</v>
      </c>
      <c r="I113" s="19">
        <f>Cost_Drivers!E113*Finance_Assumptions!$B$7</f>
        <v>9900</v>
      </c>
      <c r="J113" s="19">
        <f t="shared" si="17"/>
        <v>85100</v>
      </c>
      <c r="K113" s="19">
        <f t="shared" si="10"/>
        <v>45444.202632483342</v>
      </c>
      <c r="L113" s="24">
        <f t="shared" si="11"/>
        <v>7.1909399267876652E-4</v>
      </c>
      <c r="M113" s="20">
        <f t="shared" si="18"/>
        <v>28763.759707150661</v>
      </c>
      <c r="N113" s="7">
        <f>Cost_Drivers!B113+Cost_Drivers!C113+Cost_Drivers!E113</f>
        <v>112</v>
      </c>
      <c r="P113" s="7">
        <f t="shared" si="12"/>
        <v>4.1701107313331696E-4</v>
      </c>
      <c r="Q113" s="20">
        <f t="shared" si="19"/>
        <v>16680.442925332678</v>
      </c>
      <c r="R113" s="19">
        <f t="shared" si="13"/>
        <v>334303.36736751668</v>
      </c>
      <c r="S113" s="22">
        <f t="shared" si="14"/>
        <v>0.71916772065199064</v>
      </c>
      <c r="T113" s="21">
        <f t="shared" si="15"/>
        <v>0.18307076446586565</v>
      </c>
    </row>
    <row r="114" spans="1:20" x14ac:dyDescent="0.3">
      <c r="A114" s="7" t="s">
        <v>120</v>
      </c>
      <c r="B114" s="7" t="s">
        <v>259</v>
      </c>
      <c r="C114" s="19">
        <v>850056</v>
      </c>
      <c r="D114" s="15">
        <v>0.15</v>
      </c>
      <c r="E114" s="18">
        <f t="shared" si="16"/>
        <v>722547.6</v>
      </c>
      <c r="F114" s="19">
        <f>Cost_Drivers!B114*Finance_Assumptions!$B$4</f>
        <v>21000</v>
      </c>
      <c r="G114" s="19">
        <f>Cost_Drivers!C114*Finance_Assumptions!$B$5</f>
        <v>387200</v>
      </c>
      <c r="H114" s="19">
        <f>Cost_Drivers!D114*Finance_Assumptions!$B$6</f>
        <v>91000</v>
      </c>
      <c r="I114" s="19">
        <f>Cost_Drivers!E114*Finance_Assumptions!$B$7</f>
        <v>22860</v>
      </c>
      <c r="J114" s="19">
        <f t="shared" si="17"/>
        <v>522060</v>
      </c>
      <c r="K114" s="19">
        <f t="shared" si="10"/>
        <v>104133.75671658831</v>
      </c>
      <c r="L114" s="24">
        <f t="shared" si="11"/>
        <v>1.117741969877266E-3</v>
      </c>
      <c r="M114" s="20">
        <f t="shared" si="18"/>
        <v>44709.678795090636</v>
      </c>
      <c r="N114" s="7">
        <f>Cost_Drivers!B114+Cost_Drivers!C114+Cost_Drivers!E114</f>
        <v>399</v>
      </c>
      <c r="P114" s="7">
        <f t="shared" si="12"/>
        <v>1.4856019480374415E-3</v>
      </c>
      <c r="Q114" s="20">
        <f t="shared" si="19"/>
        <v>59424.077921497665</v>
      </c>
      <c r="R114" s="19">
        <f t="shared" si="13"/>
        <v>96353.843283411668</v>
      </c>
      <c r="S114" s="22">
        <f t="shared" si="14"/>
        <v>0.13335293520234745</v>
      </c>
      <c r="T114" s="21">
        <f t="shared" si="15"/>
        <v>0.72252679269850184</v>
      </c>
    </row>
    <row r="115" spans="1:20" x14ac:dyDescent="0.3">
      <c r="A115" s="7" t="s">
        <v>121</v>
      </c>
      <c r="B115" s="7" t="s">
        <v>259</v>
      </c>
      <c r="C115" s="19">
        <v>1873271</v>
      </c>
      <c r="D115" s="15">
        <v>0.04</v>
      </c>
      <c r="E115" s="18">
        <f t="shared" si="16"/>
        <v>1798340.16</v>
      </c>
      <c r="F115" s="19">
        <f>Cost_Drivers!B115*Finance_Assumptions!$B$4</f>
        <v>46900</v>
      </c>
      <c r="G115" s="19">
        <f>Cost_Drivers!C115*Finance_Assumptions!$B$5</f>
        <v>80000</v>
      </c>
      <c r="H115" s="19">
        <f>Cost_Drivers!D115*Finance_Assumptions!$B$6</f>
        <v>49750</v>
      </c>
      <c r="I115" s="19">
        <f>Cost_Drivers!E115*Finance_Assumptions!$B$7</f>
        <v>64980</v>
      </c>
      <c r="J115" s="19">
        <f t="shared" si="17"/>
        <v>241630</v>
      </c>
      <c r="K115" s="19">
        <f t="shared" si="10"/>
        <v>182467.13726228397</v>
      </c>
      <c r="L115" s="24">
        <f t="shared" si="11"/>
        <v>2.7819347444345503E-3</v>
      </c>
      <c r="M115" s="20">
        <f t="shared" si="18"/>
        <v>111277.38977738201</v>
      </c>
      <c r="N115" s="7">
        <f>Cost_Drivers!B115+Cost_Drivers!C115+Cost_Drivers!E115</f>
        <v>478</v>
      </c>
      <c r="P115" s="7">
        <f t="shared" si="12"/>
        <v>1.779743687122549E-3</v>
      </c>
      <c r="Q115" s="20">
        <f t="shared" si="19"/>
        <v>71189.747484901964</v>
      </c>
      <c r="R115" s="19">
        <f t="shared" si="13"/>
        <v>1374243.0227377159</v>
      </c>
      <c r="S115" s="22">
        <f t="shared" si="14"/>
        <v>0.76417301537530913</v>
      </c>
      <c r="T115" s="21">
        <f t="shared" si="15"/>
        <v>0.13436278929565806</v>
      </c>
    </row>
    <row r="116" spans="1:20" x14ac:dyDescent="0.3">
      <c r="A116" s="7" t="s">
        <v>122</v>
      </c>
      <c r="B116" s="7" t="s">
        <v>260</v>
      </c>
      <c r="C116" s="19">
        <v>4279280</v>
      </c>
      <c r="D116" s="15">
        <v>0.2</v>
      </c>
      <c r="E116" s="18">
        <f t="shared" si="16"/>
        <v>3423424</v>
      </c>
      <c r="F116" s="19">
        <f>Cost_Drivers!B116*Finance_Assumptions!$B$4</f>
        <v>156100</v>
      </c>
      <c r="G116" s="19">
        <f>Cost_Drivers!C116*Finance_Assumptions!$B$5</f>
        <v>776000</v>
      </c>
      <c r="H116" s="19">
        <f>Cost_Drivers!D116*Finance_Assumptions!$B$6</f>
        <v>183250</v>
      </c>
      <c r="I116" s="19">
        <f>Cost_Drivers!E116*Finance_Assumptions!$B$7</f>
        <v>354060</v>
      </c>
      <c r="J116" s="19">
        <f t="shared" si="17"/>
        <v>1469410</v>
      </c>
      <c r="K116" s="19">
        <f t="shared" si="10"/>
        <v>610228.56151158852</v>
      </c>
      <c r="L116" s="24">
        <f t="shared" si="11"/>
        <v>5.2958513535787946E-3</v>
      </c>
      <c r="M116" s="20">
        <f t="shared" si="18"/>
        <v>211834.05414315179</v>
      </c>
      <c r="N116" s="7">
        <f>Cost_Drivers!B116+Cost_Drivers!C116+Cost_Drivers!E116</f>
        <v>2675</v>
      </c>
      <c r="P116" s="7">
        <f t="shared" si="12"/>
        <v>9.9598626842109187E-3</v>
      </c>
      <c r="Q116" s="20">
        <f t="shared" si="19"/>
        <v>398394.50736843672</v>
      </c>
      <c r="R116" s="19">
        <f t="shared" si="13"/>
        <v>1343785.4384884115</v>
      </c>
      <c r="S116" s="22">
        <f t="shared" si="14"/>
        <v>0.39252673302763885</v>
      </c>
      <c r="T116" s="21">
        <f t="shared" si="15"/>
        <v>0.42922232244676672</v>
      </c>
    </row>
    <row r="117" spans="1:20" x14ac:dyDescent="0.3">
      <c r="A117" s="7" t="s">
        <v>123</v>
      </c>
      <c r="B117" s="7" t="s">
        <v>260</v>
      </c>
      <c r="C117" s="19">
        <v>3681388</v>
      </c>
      <c r="D117" s="15">
        <v>0.3</v>
      </c>
      <c r="E117" s="18">
        <f t="shared" si="16"/>
        <v>2576971.5999999996</v>
      </c>
      <c r="F117" s="19">
        <f>Cost_Drivers!B117*Finance_Assumptions!$B$4</f>
        <v>128800</v>
      </c>
      <c r="G117" s="19">
        <f>Cost_Drivers!C117*Finance_Assumptions!$B$5</f>
        <v>1726400</v>
      </c>
      <c r="H117" s="19">
        <f>Cost_Drivers!D117*Finance_Assumptions!$B$6</f>
        <v>77750</v>
      </c>
      <c r="I117" s="19">
        <f>Cost_Drivers!E117*Finance_Assumptions!$B$7</f>
        <v>456840</v>
      </c>
      <c r="J117" s="19">
        <f t="shared" si="17"/>
        <v>2389790</v>
      </c>
      <c r="K117" s="19">
        <f t="shared" si="10"/>
        <v>725549.94676410744</v>
      </c>
      <c r="L117" s="24">
        <f t="shared" si="11"/>
        <v>3.9864353746407429E-3</v>
      </c>
      <c r="M117" s="20">
        <f t="shared" si="18"/>
        <v>159457.41498562973</v>
      </c>
      <c r="N117" s="7">
        <f>Cost_Drivers!B117+Cost_Drivers!C117+Cost_Drivers!E117</f>
        <v>3801</v>
      </c>
      <c r="P117" s="7">
        <f t="shared" si="12"/>
        <v>1.4152313294461944E-2</v>
      </c>
      <c r="Q117" s="20">
        <f t="shared" si="19"/>
        <v>566092.53177847771</v>
      </c>
      <c r="R117" s="19">
        <f t="shared" si="13"/>
        <v>-538368.34676410782</v>
      </c>
      <c r="S117" s="22">
        <f t="shared" si="14"/>
        <v>-0.20891512609766746</v>
      </c>
      <c r="T117" s="21">
        <f t="shared" si="15"/>
        <v>0.92736373190919152</v>
      </c>
    </row>
    <row r="118" spans="1:20" x14ac:dyDescent="0.3">
      <c r="A118" s="7" t="s">
        <v>124</v>
      </c>
      <c r="B118" s="7" t="s">
        <v>260</v>
      </c>
      <c r="C118" s="19">
        <v>7360416</v>
      </c>
      <c r="D118" s="15">
        <v>0.2</v>
      </c>
      <c r="E118" s="18">
        <f t="shared" si="16"/>
        <v>5888332.8000000007</v>
      </c>
      <c r="F118" s="19">
        <f>Cost_Drivers!B118*Finance_Assumptions!$B$4</f>
        <v>74900</v>
      </c>
      <c r="G118" s="19">
        <f>Cost_Drivers!C118*Finance_Assumptions!$B$5</f>
        <v>1244800</v>
      </c>
      <c r="H118" s="19">
        <f>Cost_Drivers!D118*Finance_Assumptions!$B$6</f>
        <v>213500</v>
      </c>
      <c r="I118" s="19">
        <f>Cost_Drivers!E118*Finance_Assumptions!$B$7</f>
        <v>507960</v>
      </c>
      <c r="J118" s="19">
        <f t="shared" si="17"/>
        <v>2041160</v>
      </c>
      <c r="K118" s="19">
        <f t="shared" si="10"/>
        <v>916450.14037274499</v>
      </c>
      <c r="L118" s="24">
        <f t="shared" si="11"/>
        <v>9.1089316512364283E-3</v>
      </c>
      <c r="M118" s="20">
        <f t="shared" si="18"/>
        <v>364357.26604945713</v>
      </c>
      <c r="N118" s="7">
        <f>Cost_Drivers!B118+Cost_Drivers!C118+Cost_Drivers!E118</f>
        <v>3707</v>
      </c>
      <c r="P118" s="7">
        <f t="shared" si="12"/>
        <v>1.3802321858082197E-2</v>
      </c>
      <c r="Q118" s="20">
        <f t="shared" si="19"/>
        <v>552092.87432328786</v>
      </c>
      <c r="R118" s="19">
        <f t="shared" si="13"/>
        <v>2930722.659627256</v>
      </c>
      <c r="S118" s="22">
        <f t="shared" si="14"/>
        <v>0.49771688509644962</v>
      </c>
      <c r="T118" s="21">
        <f t="shared" si="15"/>
        <v>0.34664480920643609</v>
      </c>
    </row>
    <row r="119" spans="1:20" x14ac:dyDescent="0.3">
      <c r="A119" s="7" t="s">
        <v>125</v>
      </c>
      <c r="B119" s="7" t="s">
        <v>259</v>
      </c>
      <c r="C119" s="19">
        <v>2272418</v>
      </c>
      <c r="D119" s="15">
        <v>0.19</v>
      </c>
      <c r="E119" s="18">
        <f t="shared" si="16"/>
        <v>1840658.58</v>
      </c>
      <c r="F119" s="19">
        <f>Cost_Drivers!B119*Finance_Assumptions!$B$4</f>
        <v>37100</v>
      </c>
      <c r="G119" s="19">
        <f>Cost_Drivers!C119*Finance_Assumptions!$B$5</f>
        <v>267200</v>
      </c>
      <c r="H119" s="19">
        <f>Cost_Drivers!D119*Finance_Assumptions!$B$6</f>
        <v>82000</v>
      </c>
      <c r="I119" s="19">
        <f>Cost_Drivers!E119*Finance_Assumptions!$B$7</f>
        <v>56340</v>
      </c>
      <c r="J119" s="19">
        <f t="shared" si="17"/>
        <v>442640</v>
      </c>
      <c r="K119" s="19">
        <f t="shared" si="10"/>
        <v>193276.99826981421</v>
      </c>
      <c r="L119" s="24">
        <f t="shared" si="11"/>
        <v>2.8473990462091238E-3</v>
      </c>
      <c r="M119" s="20">
        <f t="shared" si="18"/>
        <v>113895.96184836495</v>
      </c>
      <c r="N119" s="7">
        <f>Cost_Drivers!B119+Cost_Drivers!C119+Cost_Drivers!E119</f>
        <v>533</v>
      </c>
      <c r="P119" s="7">
        <f t="shared" si="12"/>
        <v>1.9845259105362315E-3</v>
      </c>
      <c r="Q119" s="20">
        <f t="shared" si="19"/>
        <v>79381.036421449258</v>
      </c>
      <c r="R119" s="19">
        <f t="shared" si="13"/>
        <v>1204741.5817301858</v>
      </c>
      <c r="S119" s="22">
        <f t="shared" si="14"/>
        <v>0.65451659249603245</v>
      </c>
      <c r="T119" s="21">
        <f t="shared" si="15"/>
        <v>0.24047914415502303</v>
      </c>
    </row>
    <row r="120" spans="1:20" x14ac:dyDescent="0.3">
      <c r="A120" s="7" t="s">
        <v>126</v>
      </c>
      <c r="B120" s="7" t="s">
        <v>258</v>
      </c>
      <c r="C120" s="19">
        <v>364092</v>
      </c>
      <c r="D120" s="15">
        <v>0.06</v>
      </c>
      <c r="E120" s="18">
        <f t="shared" si="16"/>
        <v>342246.48</v>
      </c>
      <c r="F120" s="19">
        <f>Cost_Drivers!B120*Finance_Assumptions!$B$4</f>
        <v>14700</v>
      </c>
      <c r="G120" s="19">
        <f>Cost_Drivers!C120*Finance_Assumptions!$B$5</f>
        <v>164800</v>
      </c>
      <c r="H120" s="19">
        <f>Cost_Drivers!D120*Finance_Assumptions!$B$6</f>
        <v>13250</v>
      </c>
      <c r="I120" s="19">
        <f>Cost_Drivers!E120*Finance_Assumptions!$B$7</f>
        <v>15840</v>
      </c>
      <c r="J120" s="19">
        <f t="shared" si="17"/>
        <v>208590</v>
      </c>
      <c r="K120" s="19">
        <f t="shared" si="10"/>
        <v>52751.165629934432</v>
      </c>
      <c r="L120" s="24">
        <f t="shared" si="11"/>
        <v>5.2943675231743946E-4</v>
      </c>
      <c r="M120" s="20">
        <f t="shared" si="18"/>
        <v>21177.470092697578</v>
      </c>
      <c r="N120" s="7">
        <f>Cost_Drivers!B120+Cost_Drivers!C120+Cost_Drivers!E120</f>
        <v>212</v>
      </c>
      <c r="P120" s="7">
        <f t="shared" si="12"/>
        <v>7.8934238843092139E-4</v>
      </c>
      <c r="Q120" s="20">
        <f t="shared" si="19"/>
        <v>31573.695537236854</v>
      </c>
      <c r="R120" s="19">
        <f t="shared" si="13"/>
        <v>80905.314370065549</v>
      </c>
      <c r="S120" s="22">
        <f t="shared" si="14"/>
        <v>0.23639487649388111</v>
      </c>
      <c r="T120" s="21">
        <f t="shared" si="15"/>
        <v>0.60947303241803985</v>
      </c>
    </row>
    <row r="121" spans="1:20" x14ac:dyDescent="0.3">
      <c r="A121" s="7" t="s">
        <v>127</v>
      </c>
      <c r="B121" s="7" t="s">
        <v>260</v>
      </c>
      <c r="C121" s="19">
        <v>8850318</v>
      </c>
      <c r="D121" s="15">
        <v>0.3</v>
      </c>
      <c r="E121" s="18">
        <f t="shared" si="16"/>
        <v>6195222.5999999996</v>
      </c>
      <c r="F121" s="19">
        <f>Cost_Drivers!B121*Finance_Assumptions!$B$4</f>
        <v>130900</v>
      </c>
      <c r="G121" s="19">
        <f>Cost_Drivers!C121*Finance_Assumptions!$B$5</f>
        <v>451200</v>
      </c>
      <c r="H121" s="19">
        <f>Cost_Drivers!D121*Finance_Assumptions!$B$6</f>
        <v>313750</v>
      </c>
      <c r="I121" s="19">
        <f>Cost_Drivers!E121*Finance_Assumptions!$B$7</f>
        <v>279360</v>
      </c>
      <c r="J121" s="19">
        <f t="shared" si="17"/>
        <v>1175210</v>
      </c>
      <c r="K121" s="19">
        <f t="shared" si="10"/>
        <v>684339.57673388231</v>
      </c>
      <c r="L121" s="24">
        <f t="shared" si="11"/>
        <v>9.5836735361824708E-3</v>
      </c>
      <c r="M121" s="20">
        <f t="shared" si="18"/>
        <v>383346.94144729886</v>
      </c>
      <c r="N121" s="7">
        <f>Cost_Drivers!B121+Cost_Drivers!C121+Cost_Drivers!E121</f>
        <v>2021</v>
      </c>
      <c r="P121" s="7">
        <f t="shared" si="12"/>
        <v>7.5248158821645851E-3</v>
      </c>
      <c r="Q121" s="20">
        <f t="shared" si="19"/>
        <v>300992.63528658339</v>
      </c>
      <c r="R121" s="19">
        <f t="shared" si="13"/>
        <v>4335673.0232661171</v>
      </c>
      <c r="S121" s="22">
        <f t="shared" si="14"/>
        <v>0.69984136215962878</v>
      </c>
      <c r="T121" s="21">
        <f t="shared" si="15"/>
        <v>0.18969617007789197</v>
      </c>
    </row>
    <row r="122" spans="1:20" x14ac:dyDescent="0.3">
      <c r="A122" s="7" t="s">
        <v>128</v>
      </c>
      <c r="B122" s="7" t="s">
        <v>258</v>
      </c>
      <c r="C122" s="19">
        <v>157867</v>
      </c>
      <c r="D122" s="15">
        <v>0.01</v>
      </c>
      <c r="E122" s="18">
        <f t="shared" si="16"/>
        <v>156288.32999999999</v>
      </c>
      <c r="F122" s="19">
        <f>Cost_Drivers!B122*Finance_Assumptions!$B$4</f>
        <v>14700</v>
      </c>
      <c r="G122" s="19">
        <f>Cost_Drivers!C122*Finance_Assumptions!$B$5</f>
        <v>123200</v>
      </c>
      <c r="H122" s="19">
        <f>Cost_Drivers!D122*Finance_Assumptions!$B$6</f>
        <v>8500</v>
      </c>
      <c r="I122" s="19">
        <f>Cost_Drivers!E122*Finance_Assumptions!$B$7</f>
        <v>8100</v>
      </c>
      <c r="J122" s="19">
        <f t="shared" si="17"/>
        <v>154500</v>
      </c>
      <c r="K122" s="19">
        <f t="shared" si="10"/>
        <v>30968.134216962331</v>
      </c>
      <c r="L122" s="24">
        <f t="shared" si="11"/>
        <v>2.4176957454848401E-4</v>
      </c>
      <c r="M122" s="20">
        <f t="shared" si="18"/>
        <v>9670.782981939361</v>
      </c>
      <c r="N122" s="7">
        <f>Cost_Drivers!B122+Cost_Drivers!C122+Cost_Drivers!E122</f>
        <v>143</v>
      </c>
      <c r="P122" s="7">
        <f t="shared" si="12"/>
        <v>5.3243378087557429E-4</v>
      </c>
      <c r="Q122" s="20">
        <f t="shared" si="19"/>
        <v>21297.351235022972</v>
      </c>
      <c r="R122" s="19">
        <f t="shared" si="13"/>
        <v>-29179.804216962344</v>
      </c>
      <c r="S122" s="22">
        <f t="shared" si="14"/>
        <v>-0.18670494602483978</v>
      </c>
      <c r="T122" s="21">
        <f t="shared" si="15"/>
        <v>0.98855749498379064</v>
      </c>
    </row>
    <row r="123" spans="1:20" x14ac:dyDescent="0.3">
      <c r="A123" s="7" t="s">
        <v>129</v>
      </c>
      <c r="B123" s="7" t="s">
        <v>260</v>
      </c>
      <c r="C123" s="19">
        <v>9611647</v>
      </c>
      <c r="D123" s="15">
        <v>0.34</v>
      </c>
      <c r="E123" s="18">
        <f t="shared" si="16"/>
        <v>6343687.0199999996</v>
      </c>
      <c r="F123" s="19">
        <f>Cost_Drivers!B123*Finance_Assumptions!$B$4</f>
        <v>166600</v>
      </c>
      <c r="G123" s="19">
        <f>Cost_Drivers!C123*Finance_Assumptions!$B$5</f>
        <v>1499200</v>
      </c>
      <c r="H123" s="19">
        <f>Cost_Drivers!D123*Finance_Assumptions!$B$6</f>
        <v>148500</v>
      </c>
      <c r="I123" s="19">
        <f>Cost_Drivers!E123*Finance_Assumptions!$B$7</f>
        <v>100080</v>
      </c>
      <c r="J123" s="19">
        <f t="shared" si="17"/>
        <v>1914380</v>
      </c>
      <c r="K123" s="19">
        <f t="shared" si="10"/>
        <v>650335.80055500718</v>
      </c>
      <c r="L123" s="24">
        <f t="shared" si="11"/>
        <v>9.8133399460736473E-3</v>
      </c>
      <c r="M123" s="20">
        <f t="shared" si="18"/>
        <v>392533.59784294589</v>
      </c>
      <c r="N123" s="7">
        <f>Cost_Drivers!B123+Cost_Drivers!C123+Cost_Drivers!E123</f>
        <v>1731</v>
      </c>
      <c r="P123" s="7">
        <f t="shared" si="12"/>
        <v>6.4450550678015325E-3</v>
      </c>
      <c r="Q123" s="20">
        <f t="shared" si="19"/>
        <v>257802.20271206129</v>
      </c>
      <c r="R123" s="19">
        <f t="shared" si="13"/>
        <v>3778971.2194449925</v>
      </c>
      <c r="S123" s="22">
        <f t="shared" si="14"/>
        <v>0.59570581075814055</v>
      </c>
      <c r="T123" s="21">
        <f t="shared" si="15"/>
        <v>0.30177718320031499</v>
      </c>
    </row>
    <row r="124" spans="1:20" x14ac:dyDescent="0.3">
      <c r="A124" s="7" t="s">
        <v>130</v>
      </c>
      <c r="B124" s="7" t="s">
        <v>260</v>
      </c>
      <c r="C124" s="19">
        <v>7657089</v>
      </c>
      <c r="D124" s="15">
        <v>0.28000000000000003</v>
      </c>
      <c r="E124" s="18">
        <f t="shared" si="16"/>
        <v>5513104.0800000001</v>
      </c>
      <c r="F124" s="19">
        <f>Cost_Drivers!B124*Finance_Assumptions!$B$4</f>
        <v>92400</v>
      </c>
      <c r="G124" s="19">
        <f>Cost_Drivers!C124*Finance_Assumptions!$B$5</f>
        <v>1579200</v>
      </c>
      <c r="H124" s="19">
        <f>Cost_Drivers!D124*Finance_Assumptions!$B$6</f>
        <v>209750</v>
      </c>
      <c r="I124" s="19">
        <f>Cost_Drivers!E124*Finance_Assumptions!$B$7</f>
        <v>460980</v>
      </c>
      <c r="J124" s="19">
        <f t="shared" si="17"/>
        <v>2342330</v>
      </c>
      <c r="K124" s="19">
        <f t="shared" si="10"/>
        <v>889210.6225787024</v>
      </c>
      <c r="L124" s="24">
        <f t="shared" si="11"/>
        <v>8.5284731615157157E-3</v>
      </c>
      <c r="M124" s="20">
        <f t="shared" si="18"/>
        <v>341138.92646062863</v>
      </c>
      <c r="N124" s="7">
        <f>Cost_Drivers!B124+Cost_Drivers!C124+Cost_Drivers!E124</f>
        <v>3680</v>
      </c>
      <c r="P124" s="7">
        <f t="shared" si="12"/>
        <v>1.3701792402951843E-2</v>
      </c>
      <c r="Q124" s="20">
        <f t="shared" si="19"/>
        <v>548071.69611807377</v>
      </c>
      <c r="R124" s="19">
        <f t="shared" si="13"/>
        <v>2281563.4574212977</v>
      </c>
      <c r="S124" s="22">
        <f t="shared" si="14"/>
        <v>0.41384371205654757</v>
      </c>
      <c r="T124" s="21">
        <f t="shared" si="15"/>
        <v>0.42486591328781881</v>
      </c>
    </row>
    <row r="125" spans="1:20" x14ac:dyDescent="0.3">
      <c r="A125" s="7" t="s">
        <v>131</v>
      </c>
      <c r="B125" s="7" t="s">
        <v>259</v>
      </c>
      <c r="C125" s="19">
        <v>2466129</v>
      </c>
      <c r="D125" s="15">
        <v>0.15</v>
      </c>
      <c r="E125" s="18">
        <f t="shared" si="16"/>
        <v>2096209.65</v>
      </c>
      <c r="F125" s="19">
        <f>Cost_Drivers!B125*Finance_Assumptions!$B$4</f>
        <v>32900</v>
      </c>
      <c r="G125" s="19">
        <f>Cost_Drivers!C125*Finance_Assumptions!$B$5</f>
        <v>390400</v>
      </c>
      <c r="H125" s="19">
        <f>Cost_Drivers!D125*Finance_Assumptions!$B$6</f>
        <v>74000</v>
      </c>
      <c r="I125" s="19">
        <f>Cost_Drivers!E125*Finance_Assumptions!$B$7</f>
        <v>55800</v>
      </c>
      <c r="J125" s="19">
        <f t="shared" si="17"/>
        <v>553100</v>
      </c>
      <c r="K125" s="19">
        <f t="shared" si="10"/>
        <v>219217.35614861804</v>
      </c>
      <c r="L125" s="24">
        <f t="shared" si="11"/>
        <v>3.242722698776848E-3</v>
      </c>
      <c r="M125" s="20">
        <f t="shared" si="18"/>
        <v>129708.90795107392</v>
      </c>
      <c r="N125" s="7">
        <f>Cost_Drivers!B125+Cost_Drivers!C125+Cost_Drivers!E125</f>
        <v>601</v>
      </c>
      <c r="P125" s="7">
        <f t="shared" si="12"/>
        <v>2.2377112049386024E-3</v>
      </c>
      <c r="Q125" s="20">
        <f t="shared" si="19"/>
        <v>89508.448197544101</v>
      </c>
      <c r="R125" s="19">
        <f t="shared" si="13"/>
        <v>1323892.2938513819</v>
      </c>
      <c r="S125" s="22">
        <f t="shared" si="14"/>
        <v>0.63156483124261065</v>
      </c>
      <c r="T125" s="21">
        <f t="shared" si="15"/>
        <v>0.26385719577237898</v>
      </c>
    </row>
    <row r="126" spans="1:20" x14ac:dyDescent="0.3">
      <c r="A126" s="7" t="s">
        <v>132</v>
      </c>
      <c r="B126" s="7" t="s">
        <v>259</v>
      </c>
      <c r="C126" s="19">
        <v>1700014</v>
      </c>
      <c r="D126" s="15">
        <v>0.02</v>
      </c>
      <c r="E126" s="18">
        <f t="shared" si="16"/>
        <v>1666013.72</v>
      </c>
      <c r="F126" s="19">
        <f>Cost_Drivers!B126*Finance_Assumptions!$B$4</f>
        <v>16800</v>
      </c>
      <c r="G126" s="19">
        <f>Cost_Drivers!C126*Finance_Assumptions!$B$5</f>
        <v>302400</v>
      </c>
      <c r="H126" s="19">
        <f>Cost_Drivers!D126*Finance_Assumptions!$B$6</f>
        <v>98000</v>
      </c>
      <c r="I126" s="19">
        <f>Cost_Drivers!E126*Finance_Assumptions!$B$7</f>
        <v>82800</v>
      </c>
      <c r="J126" s="19">
        <f t="shared" si="17"/>
        <v>500000</v>
      </c>
      <c r="K126" s="19">
        <f t="shared" si="10"/>
        <v>203320.90667042555</v>
      </c>
      <c r="L126" s="24">
        <f t="shared" si="11"/>
        <v>2.5772329148077608E-3</v>
      </c>
      <c r="M126" s="20">
        <f t="shared" si="18"/>
        <v>103089.31659231044</v>
      </c>
      <c r="N126" s="7">
        <f>Cost_Drivers!B126+Cost_Drivers!C126+Cost_Drivers!E126</f>
        <v>673</v>
      </c>
      <c r="P126" s="7">
        <f t="shared" si="12"/>
        <v>2.5057897519528776E-3</v>
      </c>
      <c r="Q126" s="20">
        <f t="shared" si="19"/>
        <v>100231.5900781151</v>
      </c>
      <c r="R126" s="19">
        <f t="shared" si="13"/>
        <v>962692.81332957442</v>
      </c>
      <c r="S126" s="22">
        <f t="shared" si="14"/>
        <v>0.57784206802905225</v>
      </c>
      <c r="T126" s="21">
        <f t="shared" si="15"/>
        <v>0.30011757646269566</v>
      </c>
    </row>
    <row r="127" spans="1:20" x14ac:dyDescent="0.3">
      <c r="A127" s="7" t="s">
        <v>133</v>
      </c>
      <c r="B127" s="7" t="s">
        <v>260</v>
      </c>
      <c r="C127" s="19">
        <v>14354241</v>
      </c>
      <c r="D127" s="15">
        <v>0.34</v>
      </c>
      <c r="E127" s="18">
        <f t="shared" si="16"/>
        <v>9473799.0599999987</v>
      </c>
      <c r="F127" s="19">
        <f>Cost_Drivers!B127*Finance_Assumptions!$B$4</f>
        <v>174300</v>
      </c>
      <c r="G127" s="19">
        <f>Cost_Drivers!C127*Finance_Assumptions!$B$5</f>
        <v>779200</v>
      </c>
      <c r="H127" s="19">
        <f>Cost_Drivers!D127*Finance_Assumptions!$B$6</f>
        <v>488750</v>
      </c>
      <c r="I127" s="19">
        <f>Cost_Drivers!E127*Finance_Assumptions!$B$7</f>
        <v>117540</v>
      </c>
      <c r="J127" s="19">
        <f t="shared" si="17"/>
        <v>1559790</v>
      </c>
      <c r="K127" s="19">
        <f t="shared" si="10"/>
        <v>793085.42266610684</v>
      </c>
      <c r="L127" s="24">
        <f t="shared" si="11"/>
        <v>1.4655453597168947E-2</v>
      </c>
      <c r="M127" s="20">
        <f t="shared" si="18"/>
        <v>586218.1438867579</v>
      </c>
      <c r="N127" s="7">
        <f>Cost_Drivers!B127+Cost_Drivers!C127+Cost_Drivers!E127</f>
        <v>1389</v>
      </c>
      <c r="P127" s="7">
        <f t="shared" si="12"/>
        <v>5.1716819694837251E-3</v>
      </c>
      <c r="Q127" s="20">
        <f t="shared" si="19"/>
        <v>206867.278779349</v>
      </c>
      <c r="R127" s="19">
        <f t="shared" si="13"/>
        <v>7120923.6373338923</v>
      </c>
      <c r="S127" s="22">
        <f t="shared" si="14"/>
        <v>0.75164393842800092</v>
      </c>
      <c r="T127" s="21">
        <f t="shared" si="15"/>
        <v>0.16464250403892355</v>
      </c>
    </row>
    <row r="128" spans="1:20" x14ac:dyDescent="0.3">
      <c r="A128" s="7" t="s">
        <v>134</v>
      </c>
      <c r="B128" s="7" t="s">
        <v>259</v>
      </c>
      <c r="C128" s="19">
        <v>1889392</v>
      </c>
      <c r="D128" s="15">
        <v>0.02</v>
      </c>
      <c r="E128" s="18">
        <f t="shared" si="16"/>
        <v>1851604.16</v>
      </c>
      <c r="F128" s="19">
        <f>Cost_Drivers!B128*Finance_Assumptions!$B$4</f>
        <v>25900</v>
      </c>
      <c r="G128" s="19">
        <f>Cost_Drivers!C128*Finance_Assumptions!$B$5</f>
        <v>83200</v>
      </c>
      <c r="H128" s="19">
        <f>Cost_Drivers!D128*Finance_Assumptions!$B$6</f>
        <v>78500</v>
      </c>
      <c r="I128" s="19">
        <f>Cost_Drivers!E128*Finance_Assumptions!$B$7</f>
        <v>87120</v>
      </c>
      <c r="J128" s="19">
        <f t="shared" si="17"/>
        <v>274720</v>
      </c>
      <c r="K128" s="19">
        <f t="shared" si="10"/>
        <v>199911.58807178156</v>
      </c>
      <c r="L128" s="24">
        <f t="shared" si="11"/>
        <v>2.8643312651392659E-3</v>
      </c>
      <c r="M128" s="20">
        <f t="shared" si="18"/>
        <v>114573.25060557063</v>
      </c>
      <c r="N128" s="7">
        <f>Cost_Drivers!B128+Cost_Drivers!C128+Cost_Drivers!E128</f>
        <v>573</v>
      </c>
      <c r="P128" s="7">
        <f t="shared" si="12"/>
        <v>2.1334584366552735E-3</v>
      </c>
      <c r="Q128" s="20">
        <f t="shared" si="19"/>
        <v>85338.337466210942</v>
      </c>
      <c r="R128" s="19">
        <f t="shared" si="13"/>
        <v>1376972.5719282185</v>
      </c>
      <c r="S128" s="22">
        <f t="shared" si="14"/>
        <v>0.74366465666625992</v>
      </c>
      <c r="T128" s="21">
        <f t="shared" si="15"/>
        <v>0.14836864484037454</v>
      </c>
    </row>
    <row r="129" spans="1:20" x14ac:dyDescent="0.3">
      <c r="A129" s="7" t="s">
        <v>135</v>
      </c>
      <c r="B129" s="7" t="s">
        <v>258</v>
      </c>
      <c r="C129" s="19">
        <v>440839</v>
      </c>
      <c r="D129" s="15">
        <v>0.01</v>
      </c>
      <c r="E129" s="18">
        <f t="shared" si="16"/>
        <v>436430.61</v>
      </c>
      <c r="F129" s="19">
        <f>Cost_Drivers!B129*Finance_Assumptions!$B$4</f>
        <v>13300</v>
      </c>
      <c r="G129" s="19">
        <f>Cost_Drivers!C129*Finance_Assumptions!$B$5</f>
        <v>64000</v>
      </c>
      <c r="H129" s="19">
        <f>Cost_Drivers!D129*Finance_Assumptions!$B$6</f>
        <v>14750</v>
      </c>
      <c r="I129" s="19">
        <f>Cost_Drivers!E129*Finance_Assumptions!$B$7</f>
        <v>18000</v>
      </c>
      <c r="J129" s="19">
        <f t="shared" si="17"/>
        <v>110050</v>
      </c>
      <c r="K129" s="19">
        <f t="shared" si="10"/>
        <v>50685.651491495337</v>
      </c>
      <c r="L129" s="24">
        <f t="shared" si="11"/>
        <v>6.7513449596419233E-4</v>
      </c>
      <c r="M129" s="20">
        <f t="shared" si="18"/>
        <v>27005.379838567693</v>
      </c>
      <c r="N129" s="7">
        <f>Cost_Drivers!B129+Cost_Drivers!C129+Cost_Drivers!E129</f>
        <v>159</v>
      </c>
      <c r="P129" s="7">
        <f t="shared" si="12"/>
        <v>5.9200679132319107E-4</v>
      </c>
      <c r="Q129" s="20">
        <f t="shared" si="19"/>
        <v>23680.271652927644</v>
      </c>
      <c r="R129" s="19">
        <f t="shared" si="13"/>
        <v>275694.95850850467</v>
      </c>
      <c r="S129" s="22">
        <f t="shared" si="14"/>
        <v>0.63170399186368864</v>
      </c>
      <c r="T129" s="21">
        <f t="shared" si="15"/>
        <v>0.25215921495515636</v>
      </c>
    </row>
    <row r="130" spans="1:20" x14ac:dyDescent="0.3">
      <c r="A130" s="7" t="s">
        <v>136</v>
      </c>
      <c r="B130" s="7" t="s">
        <v>258</v>
      </c>
      <c r="C130" s="19">
        <v>355148</v>
      </c>
      <c r="D130" s="15">
        <v>0.02</v>
      </c>
      <c r="E130" s="18">
        <f t="shared" si="16"/>
        <v>348045.04</v>
      </c>
      <c r="F130" s="19">
        <f>Cost_Drivers!B130*Finance_Assumptions!$B$4</f>
        <v>7700</v>
      </c>
      <c r="G130" s="19">
        <f>Cost_Drivers!C130*Finance_Assumptions!$B$5</f>
        <v>120000</v>
      </c>
      <c r="H130" s="19">
        <f>Cost_Drivers!D130*Finance_Assumptions!$B$6</f>
        <v>21250</v>
      </c>
      <c r="I130" s="19">
        <f>Cost_Drivers!E130*Finance_Assumptions!$B$7</f>
        <v>13680</v>
      </c>
      <c r="J130" s="19">
        <f t="shared" si="17"/>
        <v>162630</v>
      </c>
      <c r="K130" s="19">
        <f t="shared" ref="K130:K193" si="20">M130+Q130</f>
        <v>45663.341643821288</v>
      </c>
      <c r="L130" s="24">
        <f t="shared" ref="L130:L193" si="21">E130/$W$2</f>
        <v>5.38406810313413E-4</v>
      </c>
      <c r="M130" s="20">
        <f t="shared" si="18"/>
        <v>21536.27241253652</v>
      </c>
      <c r="N130" s="7">
        <f>Cost_Drivers!B130+Cost_Drivers!C130+Cost_Drivers!E130</f>
        <v>162</v>
      </c>
      <c r="P130" s="7">
        <f t="shared" ref="P130:P193" si="22">N130/$O$2</f>
        <v>6.0317673078211914E-4</v>
      </c>
      <c r="Q130" s="20">
        <f t="shared" si="19"/>
        <v>24127.069231284764</v>
      </c>
      <c r="R130" s="19">
        <f t="shared" ref="R130:R193" si="23">E130-J130-K130</f>
        <v>139751.69835617871</v>
      </c>
      <c r="S130" s="22">
        <f t="shared" ref="S130:S193" si="24">R130/E130</f>
        <v>0.40153337153196816</v>
      </c>
      <c r="T130" s="21">
        <f t="shared" ref="T130:T193" si="25">J130/E130</f>
        <v>0.46726711002690918</v>
      </c>
    </row>
    <row r="131" spans="1:20" x14ac:dyDescent="0.3">
      <c r="A131" s="7" t="s">
        <v>137</v>
      </c>
      <c r="B131" s="7" t="s">
        <v>259</v>
      </c>
      <c r="C131" s="19">
        <v>1435273</v>
      </c>
      <c r="D131" s="15">
        <v>0.17</v>
      </c>
      <c r="E131" s="18">
        <f t="shared" ref="E131:E194" si="26">C131*(1-D131)</f>
        <v>1191276.5899999999</v>
      </c>
      <c r="F131" s="19">
        <f>Cost_Drivers!B131*Finance_Assumptions!$B$4</f>
        <v>37800</v>
      </c>
      <c r="G131" s="19">
        <f>Cost_Drivers!C131*Finance_Assumptions!$B$5</f>
        <v>163200</v>
      </c>
      <c r="H131" s="19">
        <f>Cost_Drivers!D131*Finance_Assumptions!$B$6</f>
        <v>72250</v>
      </c>
      <c r="I131" s="19">
        <f>Cost_Drivers!E131*Finance_Assumptions!$B$7</f>
        <v>19260</v>
      </c>
      <c r="J131" s="19">
        <f t="shared" ref="J131:J194" si="27">F131+G131+H131+I131</f>
        <v>292510</v>
      </c>
      <c r="K131" s="19">
        <f t="shared" si="20"/>
        <v>112882.86672510416</v>
      </c>
      <c r="L131" s="24">
        <f t="shared" si="21"/>
        <v>1.8428403088949048E-3</v>
      </c>
      <c r="M131" s="20">
        <f t="shared" ref="M131:M194" si="28">L131*40000000</f>
        <v>73713.612355796184</v>
      </c>
      <c r="N131" s="7">
        <f>Cost_Drivers!B131+Cost_Drivers!C131+Cost_Drivers!E131</f>
        <v>263</v>
      </c>
      <c r="P131" s="7">
        <f t="shared" si="22"/>
        <v>9.7923135923269969E-4</v>
      </c>
      <c r="Q131" s="20">
        <f t="shared" ref="Q131:Q194" si="29">P131*40000000</f>
        <v>39169.254369307986</v>
      </c>
      <c r="R131" s="19">
        <f t="shared" si="23"/>
        <v>785883.72327489569</v>
      </c>
      <c r="S131" s="22">
        <f t="shared" si="24"/>
        <v>0.65969878857007991</v>
      </c>
      <c r="T131" s="21">
        <f t="shared" si="25"/>
        <v>0.24554331248967129</v>
      </c>
    </row>
    <row r="132" spans="1:20" x14ac:dyDescent="0.3">
      <c r="A132" s="7" t="s">
        <v>138</v>
      </c>
      <c r="B132" s="7" t="s">
        <v>260</v>
      </c>
      <c r="C132" s="19">
        <v>6797885</v>
      </c>
      <c r="D132" s="15">
        <v>0.24</v>
      </c>
      <c r="E132" s="18">
        <f t="shared" si="26"/>
        <v>5166392.5999999996</v>
      </c>
      <c r="F132" s="19">
        <f>Cost_Drivers!B132*Finance_Assumptions!$B$4</f>
        <v>156100</v>
      </c>
      <c r="G132" s="19">
        <f>Cost_Drivers!C132*Finance_Assumptions!$B$5</f>
        <v>1099200</v>
      </c>
      <c r="H132" s="19">
        <f>Cost_Drivers!D132*Finance_Assumptions!$B$6</f>
        <v>206000</v>
      </c>
      <c r="I132" s="19">
        <f>Cost_Drivers!E132*Finance_Assumptions!$B$7</f>
        <v>127620</v>
      </c>
      <c r="J132" s="19">
        <f t="shared" si="27"/>
        <v>1588920</v>
      </c>
      <c r="K132" s="19">
        <f t="shared" si="20"/>
        <v>560806.93163607561</v>
      </c>
      <c r="L132" s="24">
        <f t="shared" si="21"/>
        <v>7.9921292962336736E-3</v>
      </c>
      <c r="M132" s="20">
        <f t="shared" si="28"/>
        <v>319685.17184934695</v>
      </c>
      <c r="N132" s="7">
        <f>Cost_Drivers!B132+Cost_Drivers!C132+Cost_Drivers!E132</f>
        <v>1619</v>
      </c>
      <c r="P132" s="7">
        <f t="shared" si="22"/>
        <v>6.0280439946682153E-3</v>
      </c>
      <c r="Q132" s="20">
        <f t="shared" si="29"/>
        <v>241121.75978672862</v>
      </c>
      <c r="R132" s="19">
        <f t="shared" si="23"/>
        <v>3016665.6683639241</v>
      </c>
      <c r="S132" s="22">
        <f t="shared" si="24"/>
        <v>0.58390174768443348</v>
      </c>
      <c r="T132" s="21">
        <f t="shared" si="25"/>
        <v>0.30754921722363882</v>
      </c>
    </row>
    <row r="133" spans="1:20" x14ac:dyDescent="0.3">
      <c r="A133" s="7" t="s">
        <v>139</v>
      </c>
      <c r="B133" s="7" t="s">
        <v>258</v>
      </c>
      <c r="C133" s="19">
        <v>292290</v>
      </c>
      <c r="D133" s="15">
        <v>0.06</v>
      </c>
      <c r="E133" s="18">
        <f t="shared" si="26"/>
        <v>274752.59999999998</v>
      </c>
      <c r="F133" s="19">
        <f>Cost_Drivers!B133*Finance_Assumptions!$B$4</f>
        <v>9800</v>
      </c>
      <c r="G133" s="19">
        <f>Cost_Drivers!C133*Finance_Assumptions!$B$5</f>
        <v>65600</v>
      </c>
      <c r="H133" s="19">
        <f>Cost_Drivers!D133*Finance_Assumptions!$B$6</f>
        <v>24000</v>
      </c>
      <c r="I133" s="19">
        <f>Cost_Drivers!E133*Finance_Assumptions!$B$7</f>
        <v>13320</v>
      </c>
      <c r="J133" s="19">
        <f t="shared" si="27"/>
        <v>112720</v>
      </c>
      <c r="K133" s="19">
        <f t="shared" si="20"/>
        <v>36213.391013975262</v>
      </c>
      <c r="L133" s="24">
        <f t="shared" si="21"/>
        <v>4.2502737861547184E-4</v>
      </c>
      <c r="M133" s="20">
        <f t="shared" si="28"/>
        <v>17001.095144618874</v>
      </c>
      <c r="N133" s="7">
        <f>Cost_Drivers!B133+Cost_Drivers!C133+Cost_Drivers!E133</f>
        <v>129</v>
      </c>
      <c r="P133" s="7">
        <f t="shared" si="22"/>
        <v>4.8030739673390969E-4</v>
      </c>
      <c r="Q133" s="20">
        <f t="shared" si="29"/>
        <v>19212.295869356389</v>
      </c>
      <c r="R133" s="19">
        <f t="shared" si="23"/>
        <v>125819.20898602472</v>
      </c>
      <c r="S133" s="22">
        <f t="shared" si="24"/>
        <v>0.45793637252577313</v>
      </c>
      <c r="T133" s="21">
        <f t="shared" si="25"/>
        <v>0.41025999389996676</v>
      </c>
    </row>
    <row r="134" spans="1:20" x14ac:dyDescent="0.3">
      <c r="A134" s="7" t="s">
        <v>140</v>
      </c>
      <c r="B134" s="7" t="s">
        <v>260</v>
      </c>
      <c r="C134" s="19">
        <v>8199742</v>
      </c>
      <c r="D134" s="15">
        <v>0.27</v>
      </c>
      <c r="E134" s="18">
        <f t="shared" si="26"/>
        <v>5985811.6600000001</v>
      </c>
      <c r="F134" s="19">
        <f>Cost_Drivers!B134*Finance_Assumptions!$B$4</f>
        <v>147700</v>
      </c>
      <c r="G134" s="19">
        <f>Cost_Drivers!C134*Finance_Assumptions!$B$5</f>
        <v>760000</v>
      </c>
      <c r="H134" s="19">
        <f>Cost_Drivers!D134*Finance_Assumptions!$B$6</f>
        <v>157500</v>
      </c>
      <c r="I134" s="19">
        <f>Cost_Drivers!E134*Finance_Assumptions!$B$7</f>
        <v>400860</v>
      </c>
      <c r="J134" s="19">
        <f t="shared" si="27"/>
        <v>1466060</v>
      </c>
      <c r="K134" s="19">
        <f t="shared" si="20"/>
        <v>804229.495128565</v>
      </c>
      <c r="L134" s="24">
        <f t="shared" si="21"/>
        <v>9.2597261635949078E-3</v>
      </c>
      <c r="M134" s="20">
        <f t="shared" si="28"/>
        <v>370389.04654379631</v>
      </c>
      <c r="N134" s="7">
        <f>Cost_Drivers!B134+Cost_Drivers!C134+Cost_Drivers!E134</f>
        <v>2913</v>
      </c>
      <c r="P134" s="7">
        <f t="shared" si="22"/>
        <v>1.0846011214619217E-2</v>
      </c>
      <c r="Q134" s="20">
        <f t="shared" si="29"/>
        <v>433840.44858476869</v>
      </c>
      <c r="R134" s="19">
        <f t="shared" si="23"/>
        <v>3715522.1648714351</v>
      </c>
      <c r="S134" s="22">
        <f t="shared" si="24"/>
        <v>0.62072152882796094</v>
      </c>
      <c r="T134" s="21">
        <f t="shared" si="25"/>
        <v>0.24492250730120699</v>
      </c>
    </row>
    <row r="135" spans="1:20" x14ac:dyDescent="0.3">
      <c r="A135" s="7" t="s">
        <v>141</v>
      </c>
      <c r="B135" s="7" t="s">
        <v>260</v>
      </c>
      <c r="C135" s="19">
        <v>13113550</v>
      </c>
      <c r="D135" s="15">
        <v>0.16</v>
      </c>
      <c r="E135" s="18">
        <f t="shared" si="26"/>
        <v>11015382</v>
      </c>
      <c r="F135" s="19">
        <f>Cost_Drivers!B135*Finance_Assumptions!$B$4</f>
        <v>102200</v>
      </c>
      <c r="G135" s="19">
        <f>Cost_Drivers!C135*Finance_Assumptions!$B$5</f>
        <v>731200</v>
      </c>
      <c r="H135" s="19">
        <f>Cost_Drivers!D135*Finance_Assumptions!$B$6</f>
        <v>199250</v>
      </c>
      <c r="I135" s="19">
        <f>Cost_Drivers!E135*Finance_Assumptions!$B$7</f>
        <v>446220</v>
      </c>
      <c r="J135" s="19">
        <f t="shared" si="27"/>
        <v>1478870</v>
      </c>
      <c r="K135" s="19">
        <f t="shared" si="20"/>
        <v>1140617.9991136012</v>
      </c>
      <c r="L135" s="24">
        <f t="shared" si="21"/>
        <v>1.7040198840367858E-2</v>
      </c>
      <c r="M135" s="20">
        <f t="shared" si="28"/>
        <v>681607.95361471432</v>
      </c>
      <c r="N135" s="7">
        <f>Cost_Drivers!B135+Cost_Drivers!C135+Cost_Drivers!E135</f>
        <v>3082</v>
      </c>
      <c r="P135" s="7">
        <f t="shared" si="22"/>
        <v>1.1475251137472168E-2</v>
      </c>
      <c r="Q135" s="20">
        <f t="shared" si="29"/>
        <v>459010.04549888673</v>
      </c>
      <c r="R135" s="19">
        <f t="shared" si="23"/>
        <v>8395894.0008863993</v>
      </c>
      <c r="S135" s="22">
        <f t="shared" si="24"/>
        <v>0.76219726205467953</v>
      </c>
      <c r="T135" s="21">
        <f t="shared" si="25"/>
        <v>0.13425498997674343</v>
      </c>
    </row>
    <row r="136" spans="1:20" x14ac:dyDescent="0.3">
      <c r="A136" s="7" t="s">
        <v>142</v>
      </c>
      <c r="B136" s="7" t="s">
        <v>258</v>
      </c>
      <c r="C136" s="19">
        <v>357993</v>
      </c>
      <c r="D136" s="15">
        <v>0.04</v>
      </c>
      <c r="E136" s="18">
        <f t="shared" si="26"/>
        <v>343673.27999999997</v>
      </c>
      <c r="F136" s="19">
        <f>Cost_Drivers!B136*Finance_Assumptions!$B$4</f>
        <v>16800</v>
      </c>
      <c r="G136" s="19">
        <f>Cost_Drivers!C136*Finance_Assumptions!$B$5</f>
        <v>81600</v>
      </c>
      <c r="H136" s="19">
        <f>Cost_Drivers!D136*Finance_Assumptions!$B$6</f>
        <v>15750</v>
      </c>
      <c r="I136" s="19">
        <f>Cost_Drivers!E136*Finance_Assumptions!$B$7</f>
        <v>4860</v>
      </c>
      <c r="J136" s="19">
        <f t="shared" si="27"/>
        <v>119010</v>
      </c>
      <c r="K136" s="19">
        <f t="shared" si="20"/>
        <v>36456.875047123322</v>
      </c>
      <c r="L136" s="24">
        <f t="shared" si="21"/>
        <v>5.3164393457452654E-4</v>
      </c>
      <c r="M136" s="20">
        <f t="shared" si="28"/>
        <v>21265.757382981061</v>
      </c>
      <c r="N136" s="7">
        <f>Cost_Drivers!B136+Cost_Drivers!C136+Cost_Drivers!E136</f>
        <v>102</v>
      </c>
      <c r="P136" s="7">
        <f t="shared" si="22"/>
        <v>3.797779416035565E-4</v>
      </c>
      <c r="Q136" s="20">
        <f t="shared" si="29"/>
        <v>15191.117664142261</v>
      </c>
      <c r="R136" s="19">
        <f t="shared" si="23"/>
        <v>188206.40495287665</v>
      </c>
      <c r="S136" s="22">
        <f t="shared" si="24"/>
        <v>0.54763176512551881</v>
      </c>
      <c r="T136" s="21">
        <f t="shared" si="25"/>
        <v>0.34628819557924317</v>
      </c>
    </row>
    <row r="137" spans="1:20" x14ac:dyDescent="0.3">
      <c r="A137" s="7" t="s">
        <v>143</v>
      </c>
      <c r="B137" s="7" t="s">
        <v>258</v>
      </c>
      <c r="C137" s="19">
        <v>520743</v>
      </c>
      <c r="D137" s="15">
        <v>0.08</v>
      </c>
      <c r="E137" s="18">
        <f t="shared" si="26"/>
        <v>479083.56</v>
      </c>
      <c r="F137" s="19">
        <f>Cost_Drivers!B137*Finance_Assumptions!$B$4</f>
        <v>25200</v>
      </c>
      <c r="G137" s="19">
        <f>Cost_Drivers!C137*Finance_Assumptions!$B$5</f>
        <v>110400</v>
      </c>
      <c r="H137" s="19">
        <f>Cost_Drivers!D137*Finance_Assumptions!$B$6</f>
        <v>14000</v>
      </c>
      <c r="I137" s="19">
        <f>Cost_Drivers!E137*Finance_Assumptions!$B$7</f>
        <v>5760</v>
      </c>
      <c r="J137" s="19">
        <f t="shared" si="27"/>
        <v>155360</v>
      </c>
      <c r="K137" s="19">
        <f t="shared" si="20"/>
        <v>50048.407978901203</v>
      </c>
      <c r="L137" s="24">
        <f t="shared" si="21"/>
        <v>7.4111629751481205E-4</v>
      </c>
      <c r="M137" s="20">
        <f t="shared" si="28"/>
        <v>29644.651900592482</v>
      </c>
      <c r="N137" s="7">
        <f>Cost_Drivers!B137+Cost_Drivers!C137+Cost_Drivers!E137</f>
        <v>137</v>
      </c>
      <c r="P137" s="7">
        <f t="shared" si="22"/>
        <v>5.1009390195771802E-4</v>
      </c>
      <c r="Q137" s="20">
        <f t="shared" si="29"/>
        <v>20403.756078308721</v>
      </c>
      <c r="R137" s="19">
        <f t="shared" si="23"/>
        <v>273675.15202109877</v>
      </c>
      <c r="S137" s="22">
        <f t="shared" si="24"/>
        <v>0.57124722046629772</v>
      </c>
      <c r="T137" s="21">
        <f t="shared" si="25"/>
        <v>0.32428580934816464</v>
      </c>
    </row>
    <row r="138" spans="1:20" x14ac:dyDescent="0.3">
      <c r="A138" s="7" t="s">
        <v>144</v>
      </c>
      <c r="B138" s="7" t="s">
        <v>260</v>
      </c>
      <c r="C138" s="19">
        <v>5808288</v>
      </c>
      <c r="D138" s="15">
        <v>0.13</v>
      </c>
      <c r="E138" s="18">
        <f t="shared" si="26"/>
        <v>5053210.5599999996</v>
      </c>
      <c r="F138" s="19">
        <f>Cost_Drivers!B138*Finance_Assumptions!$B$4</f>
        <v>113400</v>
      </c>
      <c r="G138" s="19">
        <f>Cost_Drivers!C138*Finance_Assumptions!$B$5</f>
        <v>1515200</v>
      </c>
      <c r="H138" s="19">
        <f>Cost_Drivers!D138*Finance_Assumptions!$B$6</f>
        <v>468750</v>
      </c>
      <c r="I138" s="19">
        <f>Cost_Drivers!E138*Finance_Assumptions!$B$7</f>
        <v>97920</v>
      </c>
      <c r="J138" s="19">
        <f t="shared" si="27"/>
        <v>2195270</v>
      </c>
      <c r="K138" s="19">
        <f t="shared" si="20"/>
        <v>558867.17830043565</v>
      </c>
      <c r="L138" s="24">
        <f t="shared" si="21"/>
        <v>7.8170428156414916E-3</v>
      </c>
      <c r="M138" s="20">
        <f t="shared" si="28"/>
        <v>312681.71262565965</v>
      </c>
      <c r="N138" s="7">
        <f>Cost_Drivers!B138+Cost_Drivers!C138+Cost_Drivers!E138</f>
        <v>1653</v>
      </c>
      <c r="P138" s="7">
        <f t="shared" si="22"/>
        <v>6.1546366418694012E-3</v>
      </c>
      <c r="Q138" s="20">
        <f t="shared" si="29"/>
        <v>246185.46567477606</v>
      </c>
      <c r="R138" s="19">
        <f t="shared" si="23"/>
        <v>2299073.3816995639</v>
      </c>
      <c r="S138" s="22">
        <f t="shared" si="24"/>
        <v>0.45497280479433733</v>
      </c>
      <c r="T138" s="21">
        <f t="shared" si="25"/>
        <v>0.43443073941490379</v>
      </c>
    </row>
    <row r="139" spans="1:20" x14ac:dyDescent="0.3">
      <c r="A139" s="7" t="s">
        <v>145</v>
      </c>
      <c r="B139" s="7" t="s">
        <v>258</v>
      </c>
      <c r="C139" s="19">
        <v>142001</v>
      </c>
      <c r="D139" s="15">
        <v>0.05</v>
      </c>
      <c r="E139" s="18">
        <f t="shared" si="26"/>
        <v>134900.94999999998</v>
      </c>
      <c r="F139" s="19">
        <f>Cost_Drivers!B139*Finance_Assumptions!$B$4</f>
        <v>22400</v>
      </c>
      <c r="G139" s="19">
        <f>Cost_Drivers!C139*Finance_Assumptions!$B$5</f>
        <v>43200</v>
      </c>
      <c r="H139" s="19">
        <f>Cost_Drivers!D139*Finance_Assumptions!$B$6</f>
        <v>20000</v>
      </c>
      <c r="I139" s="19">
        <f>Cost_Drivers!E139*Finance_Assumptions!$B$7</f>
        <v>7920</v>
      </c>
      <c r="J139" s="19">
        <f t="shared" si="27"/>
        <v>93520</v>
      </c>
      <c r="K139" s="19">
        <f t="shared" si="20"/>
        <v>23687.428471847987</v>
      </c>
      <c r="L139" s="24">
        <f t="shared" si="21"/>
        <v>2.0868445703966707E-4</v>
      </c>
      <c r="M139" s="20">
        <f t="shared" si="28"/>
        <v>8347.3782815866834</v>
      </c>
      <c r="N139" s="7">
        <f>Cost_Drivers!B139+Cost_Drivers!C139+Cost_Drivers!E139</f>
        <v>103</v>
      </c>
      <c r="P139" s="7">
        <f t="shared" si="22"/>
        <v>3.8350125475653256E-4</v>
      </c>
      <c r="Q139" s="20">
        <f t="shared" si="29"/>
        <v>15340.050190261303</v>
      </c>
      <c r="R139" s="19">
        <f t="shared" si="23"/>
        <v>17693.521528151996</v>
      </c>
      <c r="S139" s="22">
        <f t="shared" si="24"/>
        <v>0.13115935453495323</v>
      </c>
      <c r="T139" s="21">
        <f t="shared" si="25"/>
        <v>0.69324938037871497</v>
      </c>
    </row>
    <row r="140" spans="1:20" x14ac:dyDescent="0.3">
      <c r="A140" s="7" t="s">
        <v>146</v>
      </c>
      <c r="B140" s="7" t="s">
        <v>260</v>
      </c>
      <c r="C140" s="19">
        <v>5295299</v>
      </c>
      <c r="D140" s="15">
        <v>0.32</v>
      </c>
      <c r="E140" s="18">
        <f t="shared" si="26"/>
        <v>3600803.32</v>
      </c>
      <c r="F140" s="19">
        <f>Cost_Drivers!B140*Finance_Assumptions!$B$4</f>
        <v>140700</v>
      </c>
      <c r="G140" s="19">
        <f>Cost_Drivers!C140*Finance_Assumptions!$B$5</f>
        <v>1392000</v>
      </c>
      <c r="H140" s="19">
        <f>Cost_Drivers!D140*Finance_Assumptions!$B$6</f>
        <v>87250</v>
      </c>
      <c r="I140" s="19">
        <f>Cost_Drivers!E140*Finance_Assumptions!$B$7</f>
        <v>453600</v>
      </c>
      <c r="J140" s="19">
        <f t="shared" si="27"/>
        <v>2073550</v>
      </c>
      <c r="K140" s="19">
        <f t="shared" si="20"/>
        <v>757626.60314838227</v>
      </c>
      <c r="L140" s="24">
        <f t="shared" si="21"/>
        <v>5.5702475463725839E-3</v>
      </c>
      <c r="M140" s="20">
        <f t="shared" si="28"/>
        <v>222809.90185490335</v>
      </c>
      <c r="N140" s="7">
        <f>Cost_Drivers!B140+Cost_Drivers!C140+Cost_Drivers!E140</f>
        <v>3591</v>
      </c>
      <c r="P140" s="7">
        <f t="shared" si="22"/>
        <v>1.3370417532336974E-2</v>
      </c>
      <c r="Q140" s="20">
        <f t="shared" si="29"/>
        <v>534816.70129347895</v>
      </c>
      <c r="R140" s="19">
        <f t="shared" si="23"/>
        <v>769626.71685161756</v>
      </c>
      <c r="S140" s="22">
        <f t="shared" si="24"/>
        <v>0.21373750478868631</v>
      </c>
      <c r="T140" s="21">
        <f t="shared" si="25"/>
        <v>0.57585761168427274</v>
      </c>
    </row>
    <row r="141" spans="1:20" x14ac:dyDescent="0.3">
      <c r="A141" s="7" t="s">
        <v>147</v>
      </c>
      <c r="B141" s="7" t="s">
        <v>259</v>
      </c>
      <c r="C141" s="19">
        <v>1686506</v>
      </c>
      <c r="D141" s="15">
        <v>0.05</v>
      </c>
      <c r="E141" s="18">
        <f t="shared" si="26"/>
        <v>1602180.7</v>
      </c>
      <c r="F141" s="19">
        <f>Cost_Drivers!B141*Finance_Assumptions!$B$4</f>
        <v>20300</v>
      </c>
      <c r="G141" s="19">
        <f>Cost_Drivers!C141*Finance_Assumptions!$B$5</f>
        <v>382400</v>
      </c>
      <c r="H141" s="19">
        <f>Cost_Drivers!D141*Finance_Assumptions!$B$6</f>
        <v>79750</v>
      </c>
      <c r="I141" s="19">
        <f>Cost_Drivers!E141*Finance_Assumptions!$B$7</f>
        <v>64980</v>
      </c>
      <c r="J141" s="19">
        <f t="shared" si="27"/>
        <v>547430</v>
      </c>
      <c r="K141" s="19">
        <f t="shared" si="20"/>
        <v>192818.02665210201</v>
      </c>
      <c r="L141" s="24">
        <f t="shared" si="21"/>
        <v>2.4784866930806179E-3</v>
      </c>
      <c r="M141" s="20">
        <f t="shared" si="28"/>
        <v>99139.46772322472</v>
      </c>
      <c r="N141" s="7">
        <f>Cost_Drivers!B141+Cost_Drivers!C141+Cost_Drivers!E141</f>
        <v>629</v>
      </c>
      <c r="P141" s="7">
        <f t="shared" si="22"/>
        <v>2.3419639732219317E-3</v>
      </c>
      <c r="Q141" s="20">
        <f t="shared" si="29"/>
        <v>93678.558928877275</v>
      </c>
      <c r="R141" s="19">
        <f t="shared" si="23"/>
        <v>861932.67334789794</v>
      </c>
      <c r="S141" s="22">
        <f t="shared" si="24"/>
        <v>0.53797469495662875</v>
      </c>
      <c r="T141" s="21">
        <f t="shared" si="25"/>
        <v>0.34167806415343788</v>
      </c>
    </row>
    <row r="142" spans="1:20" x14ac:dyDescent="0.3">
      <c r="A142" s="7" t="s">
        <v>148</v>
      </c>
      <c r="B142" s="7" t="s">
        <v>258</v>
      </c>
      <c r="C142" s="19">
        <v>305505</v>
      </c>
      <c r="D142" s="15">
        <v>7.0000000000000007E-2</v>
      </c>
      <c r="E142" s="18">
        <f t="shared" si="26"/>
        <v>284119.64999999997</v>
      </c>
      <c r="F142" s="19">
        <f>Cost_Drivers!B142*Finance_Assumptions!$B$4</f>
        <v>19600</v>
      </c>
      <c r="G142" s="19">
        <f>Cost_Drivers!C142*Finance_Assumptions!$B$5</f>
        <v>182400</v>
      </c>
      <c r="H142" s="19">
        <f>Cost_Drivers!D142*Finance_Assumptions!$B$6</f>
        <v>21500</v>
      </c>
      <c r="I142" s="19">
        <f>Cost_Drivers!E142*Finance_Assumptions!$B$7</f>
        <v>15660</v>
      </c>
      <c r="J142" s="19">
        <f t="shared" si="27"/>
        <v>239160</v>
      </c>
      <c r="K142" s="19">
        <f t="shared" si="20"/>
        <v>51686.256369396346</v>
      </c>
      <c r="L142" s="24">
        <f t="shared" si="21"/>
        <v>4.3951769720339441E-4</v>
      </c>
      <c r="M142" s="20">
        <f t="shared" si="28"/>
        <v>17580.707888135777</v>
      </c>
      <c r="N142" s="7">
        <f>Cost_Drivers!B142+Cost_Drivers!C142+Cost_Drivers!E142</f>
        <v>229</v>
      </c>
      <c r="P142" s="7">
        <f t="shared" si="22"/>
        <v>8.5263871203151412E-4</v>
      </c>
      <c r="Q142" s="20">
        <f t="shared" si="29"/>
        <v>34105.548481260565</v>
      </c>
      <c r="R142" s="19">
        <f t="shared" si="23"/>
        <v>-6726.6063693963806</v>
      </c>
      <c r="S142" s="22">
        <f t="shared" si="24"/>
        <v>-2.3675259241648303E-2</v>
      </c>
      <c r="T142" s="21">
        <f t="shared" si="25"/>
        <v>0.84175804102250595</v>
      </c>
    </row>
    <row r="143" spans="1:20" x14ac:dyDescent="0.3">
      <c r="A143" s="7" t="s">
        <v>149</v>
      </c>
      <c r="B143" s="7" t="s">
        <v>258</v>
      </c>
      <c r="C143" s="19">
        <v>448289</v>
      </c>
      <c r="D143" s="15">
        <v>0.04</v>
      </c>
      <c r="E143" s="18">
        <f t="shared" si="26"/>
        <v>430357.44</v>
      </c>
      <c r="F143" s="19">
        <f>Cost_Drivers!B143*Finance_Assumptions!$B$4</f>
        <v>24500</v>
      </c>
      <c r="G143" s="19">
        <f>Cost_Drivers!C143*Finance_Assumptions!$B$5</f>
        <v>19200</v>
      </c>
      <c r="H143" s="19">
        <f>Cost_Drivers!D143*Finance_Assumptions!$B$6</f>
        <v>18250</v>
      </c>
      <c r="I143" s="19">
        <f>Cost_Drivers!E143*Finance_Assumptions!$B$7</f>
        <v>5040</v>
      </c>
      <c r="J143" s="19">
        <f t="shared" si="27"/>
        <v>66990</v>
      </c>
      <c r="K143" s="19">
        <f t="shared" si="20"/>
        <v>37799.524706291064</v>
      </c>
      <c r="L143" s="24">
        <f t="shared" si="21"/>
        <v>6.6573963118407337E-4</v>
      </c>
      <c r="M143" s="20">
        <f t="shared" si="28"/>
        <v>26629.585247362935</v>
      </c>
      <c r="N143" s="7">
        <f>Cost_Drivers!B143+Cost_Drivers!C143+Cost_Drivers!E143</f>
        <v>75</v>
      </c>
      <c r="P143" s="7">
        <f t="shared" si="22"/>
        <v>2.7924848647320331E-4</v>
      </c>
      <c r="Q143" s="20">
        <f t="shared" si="29"/>
        <v>11169.939458928133</v>
      </c>
      <c r="R143" s="19">
        <f t="shared" si="23"/>
        <v>325567.91529370891</v>
      </c>
      <c r="S143" s="22">
        <f t="shared" si="24"/>
        <v>0.75650583685438066</v>
      </c>
      <c r="T143" s="21">
        <f t="shared" si="25"/>
        <v>0.15566130331103373</v>
      </c>
    </row>
    <row r="144" spans="1:20" x14ac:dyDescent="0.3">
      <c r="A144" s="7" t="s">
        <v>150</v>
      </c>
      <c r="B144" s="7" t="s">
        <v>259</v>
      </c>
      <c r="C144" s="19">
        <v>1544039</v>
      </c>
      <c r="D144" s="15">
        <v>0.06</v>
      </c>
      <c r="E144" s="18">
        <f t="shared" si="26"/>
        <v>1451396.66</v>
      </c>
      <c r="F144" s="19">
        <f>Cost_Drivers!B144*Finance_Assumptions!$B$4</f>
        <v>11200</v>
      </c>
      <c r="G144" s="19">
        <f>Cost_Drivers!C144*Finance_Assumptions!$B$5</f>
        <v>411200</v>
      </c>
      <c r="H144" s="19">
        <f>Cost_Drivers!D144*Finance_Assumptions!$B$6</f>
        <v>50000</v>
      </c>
      <c r="I144" s="19">
        <f>Cost_Drivers!E144*Finance_Assumptions!$B$7</f>
        <v>97200</v>
      </c>
      <c r="J144" s="19">
        <f t="shared" si="27"/>
        <v>569600</v>
      </c>
      <c r="K144" s="19">
        <f t="shared" si="20"/>
        <v>210891.42200636803</v>
      </c>
      <c r="L144" s="24">
        <f t="shared" si="21"/>
        <v>2.2452319567896764E-3</v>
      </c>
      <c r="M144" s="20">
        <f t="shared" si="28"/>
        <v>89809.278271587056</v>
      </c>
      <c r="N144" s="7">
        <f>Cost_Drivers!B144+Cost_Drivers!C144+Cost_Drivers!E144</f>
        <v>813</v>
      </c>
      <c r="P144" s="7">
        <f t="shared" si="22"/>
        <v>3.0270535933695241E-3</v>
      </c>
      <c r="Q144" s="20">
        <f t="shared" si="29"/>
        <v>121082.14373478097</v>
      </c>
      <c r="R144" s="19">
        <f t="shared" si="23"/>
        <v>670905.23799363186</v>
      </c>
      <c r="S144" s="22">
        <f t="shared" si="24"/>
        <v>0.46224802390935082</v>
      </c>
      <c r="T144" s="21">
        <f t="shared" si="25"/>
        <v>0.39244957336473407</v>
      </c>
    </row>
    <row r="145" spans="1:20" x14ac:dyDescent="0.3">
      <c r="A145" s="7" t="s">
        <v>151</v>
      </c>
      <c r="B145" s="7" t="s">
        <v>258</v>
      </c>
      <c r="C145" s="19">
        <v>342982</v>
      </c>
      <c r="D145" s="15">
        <v>0.04</v>
      </c>
      <c r="E145" s="18">
        <f t="shared" si="26"/>
        <v>329262.71999999997</v>
      </c>
      <c r="F145" s="19">
        <f>Cost_Drivers!B145*Finance_Assumptions!$B$4</f>
        <v>17500</v>
      </c>
      <c r="G145" s="19">
        <f>Cost_Drivers!C145*Finance_Assumptions!$B$5</f>
        <v>128000</v>
      </c>
      <c r="H145" s="19">
        <f>Cost_Drivers!D145*Finance_Assumptions!$B$6</f>
        <v>6500</v>
      </c>
      <c r="I145" s="19">
        <f>Cost_Drivers!E145*Finance_Assumptions!$B$7</f>
        <v>5400</v>
      </c>
      <c r="J145" s="19">
        <f t="shared" si="27"/>
        <v>157400</v>
      </c>
      <c r="K145" s="19">
        <f t="shared" si="20"/>
        <v>40479.954202528315</v>
      </c>
      <c r="L145" s="24">
        <f t="shared" si="21"/>
        <v>5.093515794114418E-4</v>
      </c>
      <c r="M145" s="20">
        <f t="shared" si="28"/>
        <v>20374.063176457672</v>
      </c>
      <c r="N145" s="7">
        <f>Cost_Drivers!B145+Cost_Drivers!C145+Cost_Drivers!E145</f>
        <v>135</v>
      </c>
      <c r="P145" s="7">
        <f t="shared" si="22"/>
        <v>5.0264727565176601E-4</v>
      </c>
      <c r="Q145" s="20">
        <f t="shared" si="29"/>
        <v>20105.89102607064</v>
      </c>
      <c r="R145" s="19">
        <f t="shared" si="23"/>
        <v>131382.76579747166</v>
      </c>
      <c r="S145" s="22">
        <f t="shared" si="24"/>
        <v>0.39902107896536743</v>
      </c>
      <c r="T145" s="21">
        <f t="shared" si="25"/>
        <v>0.47803772015246676</v>
      </c>
    </row>
    <row r="146" spans="1:20" x14ac:dyDescent="0.3">
      <c r="A146" s="7" t="s">
        <v>152</v>
      </c>
      <c r="B146" s="7" t="s">
        <v>259</v>
      </c>
      <c r="C146" s="19">
        <v>2456840</v>
      </c>
      <c r="D146" s="15">
        <v>0.06</v>
      </c>
      <c r="E146" s="18">
        <f t="shared" si="26"/>
        <v>2309429.6</v>
      </c>
      <c r="F146" s="19">
        <f>Cost_Drivers!B146*Finance_Assumptions!$B$4</f>
        <v>56000</v>
      </c>
      <c r="G146" s="19">
        <f>Cost_Drivers!C146*Finance_Assumptions!$B$5</f>
        <v>220800</v>
      </c>
      <c r="H146" s="19">
        <f>Cost_Drivers!D146*Finance_Assumptions!$B$6</f>
        <v>77250</v>
      </c>
      <c r="I146" s="19">
        <f>Cost_Drivers!E146*Finance_Assumptions!$B$7</f>
        <v>20340</v>
      </c>
      <c r="J146" s="19">
        <f t="shared" si="27"/>
        <v>374390</v>
      </c>
      <c r="K146" s="19">
        <f t="shared" si="20"/>
        <v>192199.16227974009</v>
      </c>
      <c r="L146" s="24">
        <f t="shared" si="21"/>
        <v>3.5725624033584318E-3</v>
      </c>
      <c r="M146" s="20">
        <f t="shared" si="28"/>
        <v>142902.49613433727</v>
      </c>
      <c r="N146" s="7">
        <f>Cost_Drivers!B146+Cost_Drivers!C146+Cost_Drivers!E146</f>
        <v>331</v>
      </c>
      <c r="P146" s="7">
        <f t="shared" si="22"/>
        <v>1.2324166536350706E-3</v>
      </c>
      <c r="Q146" s="20">
        <f t="shared" si="29"/>
        <v>49296.666145402822</v>
      </c>
      <c r="R146" s="19">
        <f t="shared" si="23"/>
        <v>1742840.4377202601</v>
      </c>
      <c r="S146" s="22">
        <f t="shared" si="24"/>
        <v>0.75466272612088281</v>
      </c>
      <c r="T146" s="21">
        <f t="shared" si="25"/>
        <v>0.16211362320808567</v>
      </c>
    </row>
    <row r="147" spans="1:20" x14ac:dyDescent="0.3">
      <c r="A147" s="7" t="s">
        <v>153</v>
      </c>
      <c r="B147" s="7" t="s">
        <v>260</v>
      </c>
      <c r="C147" s="19">
        <v>14367020</v>
      </c>
      <c r="D147" s="15">
        <v>0.27</v>
      </c>
      <c r="E147" s="18">
        <f t="shared" si="26"/>
        <v>10487924.6</v>
      </c>
      <c r="F147" s="19">
        <f>Cost_Drivers!B147*Finance_Assumptions!$B$4</f>
        <v>163100</v>
      </c>
      <c r="G147" s="19">
        <f>Cost_Drivers!C147*Finance_Assumptions!$B$5</f>
        <v>368000</v>
      </c>
      <c r="H147" s="19">
        <f>Cost_Drivers!D147*Finance_Assumptions!$B$6</f>
        <v>132750</v>
      </c>
      <c r="I147" s="19">
        <f>Cost_Drivers!E147*Finance_Assumptions!$B$7</f>
        <v>129600</v>
      </c>
      <c r="J147" s="19">
        <f t="shared" si="27"/>
        <v>793450</v>
      </c>
      <c r="K147" s="19">
        <f t="shared" si="20"/>
        <v>825157.21178227337</v>
      </c>
      <c r="L147" s="24">
        <f t="shared" si="21"/>
        <v>1.6224250834586174E-2</v>
      </c>
      <c r="M147" s="20">
        <f t="shared" si="28"/>
        <v>648970.03338344698</v>
      </c>
      <c r="N147" s="7">
        <f>Cost_Drivers!B147+Cost_Drivers!C147+Cost_Drivers!E147</f>
        <v>1183</v>
      </c>
      <c r="P147" s="7">
        <f t="shared" si="22"/>
        <v>4.4046794599706604E-3</v>
      </c>
      <c r="Q147" s="20">
        <f t="shared" si="29"/>
        <v>176187.17839882642</v>
      </c>
      <c r="R147" s="19">
        <f t="shared" si="23"/>
        <v>8869317.3882177267</v>
      </c>
      <c r="S147" s="22">
        <f t="shared" si="24"/>
        <v>0.84566944619507722</v>
      </c>
      <c r="T147" s="21">
        <f t="shared" si="25"/>
        <v>7.5653671270672559E-2</v>
      </c>
    </row>
    <row r="148" spans="1:20" x14ac:dyDescent="0.3">
      <c r="A148" s="7" t="s">
        <v>154</v>
      </c>
      <c r="B148" s="7" t="s">
        <v>259</v>
      </c>
      <c r="C148" s="19">
        <v>733259</v>
      </c>
      <c r="D148" s="15">
        <v>0</v>
      </c>
      <c r="E148" s="18">
        <f t="shared" si="26"/>
        <v>733259</v>
      </c>
      <c r="F148" s="19">
        <f>Cost_Drivers!B148*Finance_Assumptions!$B$4</f>
        <v>33600</v>
      </c>
      <c r="G148" s="19">
        <f>Cost_Drivers!C148*Finance_Assumptions!$B$5</f>
        <v>364800</v>
      </c>
      <c r="H148" s="19">
        <f>Cost_Drivers!D148*Finance_Assumptions!$B$6</f>
        <v>80750</v>
      </c>
      <c r="I148" s="19">
        <f>Cost_Drivers!E148*Finance_Assumptions!$B$7</f>
        <v>35460</v>
      </c>
      <c r="J148" s="19">
        <f t="shared" si="27"/>
        <v>514610</v>
      </c>
      <c r="K148" s="19">
        <f t="shared" si="20"/>
        <v>115817.56185597331</v>
      </c>
      <c r="L148" s="24">
        <f t="shared" si="21"/>
        <v>1.134311925041664E-3</v>
      </c>
      <c r="M148" s="20">
        <f t="shared" si="28"/>
        <v>45372.477001666557</v>
      </c>
      <c r="N148" s="7">
        <f>Cost_Drivers!B148+Cost_Drivers!C148+Cost_Drivers!E148</f>
        <v>473</v>
      </c>
      <c r="P148" s="7">
        <f t="shared" si="22"/>
        <v>1.7611271213576688E-3</v>
      </c>
      <c r="Q148" s="20">
        <f t="shared" si="29"/>
        <v>70445.084854306755</v>
      </c>
      <c r="R148" s="19">
        <f t="shared" si="23"/>
        <v>102831.43814402669</v>
      </c>
      <c r="S148" s="22">
        <f t="shared" si="24"/>
        <v>0.14023890350343696</v>
      </c>
      <c r="T148" s="21">
        <f t="shared" si="25"/>
        <v>0.70181204731206848</v>
      </c>
    </row>
    <row r="149" spans="1:20" x14ac:dyDescent="0.3">
      <c r="A149" s="7" t="s">
        <v>155</v>
      </c>
      <c r="B149" s="7" t="s">
        <v>259</v>
      </c>
      <c r="C149" s="19">
        <v>661601</v>
      </c>
      <c r="D149" s="15">
        <v>7.0000000000000007E-2</v>
      </c>
      <c r="E149" s="18">
        <f t="shared" si="26"/>
        <v>615288.92999999993</v>
      </c>
      <c r="F149" s="19">
        <f>Cost_Drivers!B149*Finance_Assumptions!$B$4</f>
        <v>15400</v>
      </c>
      <c r="G149" s="19">
        <f>Cost_Drivers!C149*Finance_Assumptions!$B$5</f>
        <v>225600</v>
      </c>
      <c r="H149" s="19">
        <f>Cost_Drivers!D149*Finance_Assumptions!$B$6</f>
        <v>22500</v>
      </c>
      <c r="I149" s="19">
        <f>Cost_Drivers!E149*Finance_Assumptions!$B$7</f>
        <v>73620</v>
      </c>
      <c r="J149" s="19">
        <f t="shared" si="27"/>
        <v>337120</v>
      </c>
      <c r="K149" s="19">
        <f t="shared" si="20"/>
        <v>123262.14980350989</v>
      </c>
      <c r="L149" s="24">
        <f t="shared" si="21"/>
        <v>9.518186215854501E-4</v>
      </c>
      <c r="M149" s="20">
        <f t="shared" si="28"/>
        <v>38072.744863418004</v>
      </c>
      <c r="N149" s="7">
        <f>Cost_Drivers!B149+Cost_Drivers!C149+Cost_Drivers!E149</f>
        <v>572</v>
      </c>
      <c r="P149" s="7">
        <f t="shared" si="22"/>
        <v>2.1297351235022972E-3</v>
      </c>
      <c r="Q149" s="20">
        <f t="shared" si="29"/>
        <v>85189.404940091888</v>
      </c>
      <c r="R149" s="19">
        <f t="shared" si="23"/>
        <v>154906.78019649006</v>
      </c>
      <c r="S149" s="22">
        <f t="shared" si="24"/>
        <v>0.25176266408123105</v>
      </c>
      <c r="T149" s="21">
        <f t="shared" si="25"/>
        <v>0.54790519309359265</v>
      </c>
    </row>
    <row r="150" spans="1:20" x14ac:dyDescent="0.3">
      <c r="A150" s="7" t="s">
        <v>156</v>
      </c>
      <c r="B150" s="7" t="s">
        <v>259</v>
      </c>
      <c r="C150" s="19">
        <v>2194594</v>
      </c>
      <c r="D150" s="15">
        <v>0.2</v>
      </c>
      <c r="E150" s="18">
        <f t="shared" si="26"/>
        <v>1755675.2000000002</v>
      </c>
      <c r="F150" s="19">
        <f>Cost_Drivers!B150*Finance_Assumptions!$B$4</f>
        <v>35000</v>
      </c>
      <c r="G150" s="19">
        <f>Cost_Drivers!C150*Finance_Assumptions!$B$5</f>
        <v>155200</v>
      </c>
      <c r="H150" s="19">
        <f>Cost_Drivers!D150*Finance_Assumptions!$B$6</f>
        <v>21500</v>
      </c>
      <c r="I150" s="19">
        <f>Cost_Drivers!E150*Finance_Assumptions!$B$7</f>
        <v>78480</v>
      </c>
      <c r="J150" s="19">
        <f t="shared" si="27"/>
        <v>290180</v>
      </c>
      <c r="K150" s="19">
        <f t="shared" si="20"/>
        <v>195465.03728999977</v>
      </c>
      <c r="L150" s="24">
        <f t="shared" si="21"/>
        <v>2.7159343640649602E-3</v>
      </c>
      <c r="M150" s="20">
        <f t="shared" si="28"/>
        <v>108637.3745625984</v>
      </c>
      <c r="N150" s="7">
        <f>Cost_Drivers!B150+Cost_Drivers!C150+Cost_Drivers!E150</f>
        <v>583</v>
      </c>
      <c r="P150" s="7">
        <f t="shared" si="22"/>
        <v>2.1706915681850339E-3</v>
      </c>
      <c r="Q150" s="20">
        <f t="shared" si="29"/>
        <v>86827.662727401359</v>
      </c>
      <c r="R150" s="19">
        <f t="shared" si="23"/>
        <v>1270030.1627100003</v>
      </c>
      <c r="S150" s="22">
        <f t="shared" si="24"/>
        <v>0.72338560270715235</v>
      </c>
      <c r="T150" s="21">
        <f t="shared" si="25"/>
        <v>0.16528114083971795</v>
      </c>
    </row>
    <row r="151" spans="1:20" x14ac:dyDescent="0.3">
      <c r="A151" s="7" t="s">
        <v>157</v>
      </c>
      <c r="B151" s="7" t="s">
        <v>260</v>
      </c>
      <c r="C151" s="19">
        <v>9707322</v>
      </c>
      <c r="D151" s="15">
        <v>0.14000000000000001</v>
      </c>
      <c r="E151" s="18">
        <f t="shared" si="26"/>
        <v>8348296.9199999999</v>
      </c>
      <c r="F151" s="19">
        <f>Cost_Drivers!B151*Finance_Assumptions!$B$4</f>
        <v>114100</v>
      </c>
      <c r="G151" s="19">
        <f>Cost_Drivers!C151*Finance_Assumptions!$B$5</f>
        <v>1372800</v>
      </c>
      <c r="H151" s="19">
        <f>Cost_Drivers!D151*Finance_Assumptions!$B$6</f>
        <v>330500</v>
      </c>
      <c r="I151" s="19">
        <f>Cost_Drivers!E151*Finance_Assumptions!$B$7</f>
        <v>558180</v>
      </c>
      <c r="J151" s="19">
        <f t="shared" si="27"/>
        <v>2375580</v>
      </c>
      <c r="K151" s="19">
        <f t="shared" si="20"/>
        <v>1130474.3845415539</v>
      </c>
      <c r="L151" s="24">
        <f t="shared" si="21"/>
        <v>1.2914362796971595E-2</v>
      </c>
      <c r="M151" s="20">
        <f t="shared" si="28"/>
        <v>516574.51187886379</v>
      </c>
      <c r="N151" s="7">
        <f>Cost_Drivers!B151+Cost_Drivers!C151+Cost_Drivers!E151</f>
        <v>4122</v>
      </c>
      <c r="P151" s="7">
        <f t="shared" si="22"/>
        <v>1.5347496816567253E-2</v>
      </c>
      <c r="Q151" s="20">
        <f t="shared" si="29"/>
        <v>613899.87266269012</v>
      </c>
      <c r="R151" s="19">
        <f t="shared" si="23"/>
        <v>4842242.5354584455</v>
      </c>
      <c r="S151" s="22">
        <f t="shared" si="24"/>
        <v>0.58002758908321694</v>
      </c>
      <c r="T151" s="21">
        <f t="shared" si="25"/>
        <v>0.28455863785927732</v>
      </c>
    </row>
    <row r="152" spans="1:20" x14ac:dyDescent="0.3">
      <c r="A152" s="7" t="s">
        <v>158</v>
      </c>
      <c r="B152" s="7" t="s">
        <v>260</v>
      </c>
      <c r="C152" s="19">
        <v>7722904</v>
      </c>
      <c r="D152" s="15">
        <v>0.34</v>
      </c>
      <c r="E152" s="18">
        <f t="shared" si="26"/>
        <v>5097116.6399999997</v>
      </c>
      <c r="F152" s="19">
        <f>Cost_Drivers!B152*Finance_Assumptions!$B$4</f>
        <v>100100</v>
      </c>
      <c r="G152" s="19">
        <f>Cost_Drivers!C152*Finance_Assumptions!$B$5</f>
        <v>1880000</v>
      </c>
      <c r="H152" s="19">
        <f>Cost_Drivers!D152*Finance_Assumptions!$B$6</f>
        <v>218750</v>
      </c>
      <c r="I152" s="19">
        <f>Cost_Drivers!E152*Finance_Assumptions!$B$7</f>
        <v>495360</v>
      </c>
      <c r="J152" s="19">
        <f t="shared" si="27"/>
        <v>2694210</v>
      </c>
      <c r="K152" s="19">
        <f t="shared" si="20"/>
        <v>921553.90695943497</v>
      </c>
      <c r="L152" s="24">
        <f t="shared" si="21"/>
        <v>7.8849631413733731E-3</v>
      </c>
      <c r="M152" s="20">
        <f t="shared" si="28"/>
        <v>315398.52565493493</v>
      </c>
      <c r="N152" s="7">
        <f>Cost_Drivers!B152+Cost_Drivers!C152+Cost_Drivers!E152</f>
        <v>4070</v>
      </c>
      <c r="P152" s="7">
        <f t="shared" si="22"/>
        <v>1.51538845326125E-2</v>
      </c>
      <c r="Q152" s="20">
        <f t="shared" si="29"/>
        <v>606155.38130450004</v>
      </c>
      <c r="R152" s="19">
        <f t="shared" si="23"/>
        <v>1481352.7330405647</v>
      </c>
      <c r="S152" s="22">
        <f t="shared" si="24"/>
        <v>0.29062562967767691</v>
      </c>
      <c r="T152" s="21">
        <f t="shared" si="25"/>
        <v>0.52857530841201239</v>
      </c>
    </row>
    <row r="153" spans="1:20" x14ac:dyDescent="0.3">
      <c r="A153" s="7" t="s">
        <v>159</v>
      </c>
      <c r="B153" s="7" t="s">
        <v>260</v>
      </c>
      <c r="C153" s="19">
        <v>9556471</v>
      </c>
      <c r="D153" s="15">
        <v>0.25</v>
      </c>
      <c r="E153" s="18">
        <f t="shared" si="26"/>
        <v>7167353.25</v>
      </c>
      <c r="F153" s="19">
        <f>Cost_Drivers!B153*Finance_Assumptions!$B$4</f>
        <v>33600</v>
      </c>
      <c r="G153" s="19">
        <f>Cost_Drivers!C153*Finance_Assumptions!$B$5</f>
        <v>1040000</v>
      </c>
      <c r="H153" s="19">
        <f>Cost_Drivers!D153*Finance_Assumptions!$B$6</f>
        <v>498500</v>
      </c>
      <c r="I153" s="19">
        <f>Cost_Drivers!E153*Finance_Assumptions!$B$7</f>
        <v>270180</v>
      </c>
      <c r="J153" s="19">
        <f t="shared" si="27"/>
        <v>1842280</v>
      </c>
      <c r="K153" s="19">
        <f t="shared" si="20"/>
        <v>771002.90314367088</v>
      </c>
      <c r="L153" s="24">
        <f t="shared" si="21"/>
        <v>1.1087506955197449E-2</v>
      </c>
      <c r="M153" s="20">
        <f t="shared" si="28"/>
        <v>443500.27820789797</v>
      </c>
      <c r="N153" s="7">
        <f>Cost_Drivers!B153+Cost_Drivers!C153+Cost_Drivers!E153</f>
        <v>2199</v>
      </c>
      <c r="P153" s="7">
        <f t="shared" si="22"/>
        <v>8.1875656233943214E-3</v>
      </c>
      <c r="Q153" s="20">
        <f t="shared" si="29"/>
        <v>327502.62493577285</v>
      </c>
      <c r="R153" s="19">
        <f t="shared" si="23"/>
        <v>4554070.3468563296</v>
      </c>
      <c r="S153" s="22">
        <f t="shared" si="24"/>
        <v>0.6353908043888209</v>
      </c>
      <c r="T153" s="21">
        <f t="shared" si="25"/>
        <v>0.2570377007718993</v>
      </c>
    </row>
    <row r="154" spans="1:20" x14ac:dyDescent="0.3">
      <c r="A154" s="7" t="s">
        <v>160</v>
      </c>
      <c r="B154" s="7" t="s">
        <v>259</v>
      </c>
      <c r="C154" s="19">
        <v>2421186</v>
      </c>
      <c r="D154" s="15">
        <v>0</v>
      </c>
      <c r="E154" s="18">
        <f t="shared" si="26"/>
        <v>2421186</v>
      </c>
      <c r="F154" s="19">
        <f>Cost_Drivers!B154*Finance_Assumptions!$B$4</f>
        <v>12600</v>
      </c>
      <c r="G154" s="19">
        <f>Cost_Drivers!C154*Finance_Assumptions!$B$5</f>
        <v>192000</v>
      </c>
      <c r="H154" s="19">
        <f>Cost_Drivers!D154*Finance_Assumptions!$B$6</f>
        <v>86250</v>
      </c>
      <c r="I154" s="19">
        <f>Cost_Drivers!E154*Finance_Assumptions!$B$7</f>
        <v>79020</v>
      </c>
      <c r="J154" s="19">
        <f t="shared" si="27"/>
        <v>369870</v>
      </c>
      <c r="K154" s="19">
        <f t="shared" si="20"/>
        <v>235751.80741671292</v>
      </c>
      <c r="L154" s="24">
        <f t="shared" si="21"/>
        <v>3.7454434961506455E-3</v>
      </c>
      <c r="M154" s="20">
        <f t="shared" si="28"/>
        <v>149817.73984602583</v>
      </c>
      <c r="N154" s="7">
        <f>Cost_Drivers!B154+Cost_Drivers!C154+Cost_Drivers!E154</f>
        <v>577</v>
      </c>
      <c r="P154" s="7">
        <f t="shared" si="22"/>
        <v>2.1483516892671774E-3</v>
      </c>
      <c r="Q154" s="20">
        <f t="shared" si="29"/>
        <v>85934.067570687097</v>
      </c>
      <c r="R154" s="19">
        <f t="shared" si="23"/>
        <v>1815564.1925832871</v>
      </c>
      <c r="S154" s="22">
        <f t="shared" si="24"/>
        <v>0.74986564129450906</v>
      </c>
      <c r="T154" s="21">
        <f t="shared" si="25"/>
        <v>0.15276397600184372</v>
      </c>
    </row>
    <row r="155" spans="1:20" x14ac:dyDescent="0.3">
      <c r="A155" s="7" t="s">
        <v>161</v>
      </c>
      <c r="B155" s="7" t="s">
        <v>258</v>
      </c>
      <c r="C155" s="19">
        <v>587645</v>
      </c>
      <c r="D155" s="15">
        <v>0.04</v>
      </c>
      <c r="E155" s="18">
        <f t="shared" si="26"/>
        <v>564139.19999999995</v>
      </c>
      <c r="F155" s="19">
        <f>Cost_Drivers!B155*Finance_Assumptions!$B$4</f>
        <v>10500</v>
      </c>
      <c r="G155" s="19">
        <f>Cost_Drivers!C155*Finance_Assumptions!$B$5</f>
        <v>169600</v>
      </c>
      <c r="H155" s="19">
        <f>Cost_Drivers!D155*Finance_Assumptions!$B$6</f>
        <v>7500</v>
      </c>
      <c r="I155" s="19">
        <f>Cost_Drivers!E155*Finance_Assumptions!$B$7</f>
        <v>4680</v>
      </c>
      <c r="J155" s="19">
        <f t="shared" si="27"/>
        <v>192280</v>
      </c>
      <c r="K155" s="19">
        <f t="shared" si="20"/>
        <v>56800.791817977508</v>
      </c>
      <c r="L155" s="24">
        <f t="shared" si="21"/>
        <v>8.7269276196195924E-4</v>
      </c>
      <c r="M155" s="20">
        <f t="shared" si="28"/>
        <v>34907.710478478366</v>
      </c>
      <c r="N155" s="7">
        <f>Cost_Drivers!B155+Cost_Drivers!C155+Cost_Drivers!E155</f>
        <v>147</v>
      </c>
      <c r="P155" s="7">
        <f t="shared" si="22"/>
        <v>5.4732703348747854E-4</v>
      </c>
      <c r="Q155" s="20">
        <f t="shared" si="29"/>
        <v>21893.081339499142</v>
      </c>
      <c r="R155" s="19">
        <f t="shared" si="23"/>
        <v>315058.40818202245</v>
      </c>
      <c r="S155" s="22">
        <f t="shared" si="24"/>
        <v>0.55847636218511754</v>
      </c>
      <c r="T155" s="21">
        <f t="shared" si="25"/>
        <v>0.34083786412998779</v>
      </c>
    </row>
    <row r="156" spans="1:20" x14ac:dyDescent="0.3">
      <c r="A156" s="7" t="s">
        <v>162</v>
      </c>
      <c r="B156" s="7" t="s">
        <v>260</v>
      </c>
      <c r="C156" s="19">
        <v>6392209</v>
      </c>
      <c r="D156" s="15">
        <v>0.32</v>
      </c>
      <c r="E156" s="18">
        <f t="shared" si="26"/>
        <v>4346702.1199999992</v>
      </c>
      <c r="F156" s="19">
        <f>Cost_Drivers!B156*Finance_Assumptions!$B$4</f>
        <v>88200</v>
      </c>
      <c r="G156" s="19">
        <f>Cost_Drivers!C156*Finance_Assumptions!$B$5</f>
        <v>696000</v>
      </c>
      <c r="H156" s="19">
        <f>Cost_Drivers!D156*Finance_Assumptions!$B$6</f>
        <v>475000</v>
      </c>
      <c r="I156" s="19">
        <f>Cost_Drivers!E156*Finance_Assumptions!$B$7</f>
        <v>351000</v>
      </c>
      <c r="J156" s="19">
        <f t="shared" si="27"/>
        <v>1610200</v>
      </c>
      <c r="K156" s="19">
        <f t="shared" si="20"/>
        <v>642934.07535872888</v>
      </c>
      <c r="L156" s="24">
        <f t="shared" si="21"/>
        <v>6.7241125568453727E-3</v>
      </c>
      <c r="M156" s="20">
        <f t="shared" si="28"/>
        <v>268964.50227381493</v>
      </c>
      <c r="N156" s="7">
        <f>Cost_Drivers!B156+Cost_Drivers!C156+Cost_Drivers!E156</f>
        <v>2511</v>
      </c>
      <c r="P156" s="7">
        <f t="shared" si="22"/>
        <v>9.3492393271228467E-3</v>
      </c>
      <c r="Q156" s="20">
        <f t="shared" si="29"/>
        <v>373969.57308491389</v>
      </c>
      <c r="R156" s="19">
        <f t="shared" si="23"/>
        <v>2093568.0446412703</v>
      </c>
      <c r="S156" s="22">
        <f t="shared" si="24"/>
        <v>0.48164516151414366</v>
      </c>
      <c r="T156" s="21">
        <f t="shared" si="25"/>
        <v>0.37044176378941751</v>
      </c>
    </row>
    <row r="157" spans="1:20" x14ac:dyDescent="0.3">
      <c r="A157" s="7" t="s">
        <v>163</v>
      </c>
      <c r="B157" s="7" t="s">
        <v>258</v>
      </c>
      <c r="C157" s="19">
        <v>146792</v>
      </c>
      <c r="D157" s="15">
        <v>0</v>
      </c>
      <c r="E157" s="18">
        <f t="shared" si="26"/>
        <v>146792</v>
      </c>
      <c r="F157" s="19">
        <f>Cost_Drivers!B157*Finance_Assumptions!$B$4</f>
        <v>17500</v>
      </c>
      <c r="G157" s="19">
        <f>Cost_Drivers!C157*Finance_Assumptions!$B$5</f>
        <v>62400</v>
      </c>
      <c r="H157" s="19">
        <f>Cost_Drivers!D157*Finance_Assumptions!$B$6</f>
        <v>21500</v>
      </c>
      <c r="I157" s="19">
        <f>Cost_Drivers!E157*Finance_Assumptions!$B$7</f>
        <v>6480</v>
      </c>
      <c r="J157" s="19">
        <f t="shared" si="27"/>
        <v>107880</v>
      </c>
      <c r="K157" s="19">
        <f t="shared" si="20"/>
        <v>23976.423284243196</v>
      </c>
      <c r="L157" s="24">
        <f t="shared" si="21"/>
        <v>2.270792668084755E-4</v>
      </c>
      <c r="M157" s="20">
        <f t="shared" si="28"/>
        <v>9083.1706723390198</v>
      </c>
      <c r="N157" s="7">
        <f>Cost_Drivers!B157+Cost_Drivers!C157+Cost_Drivers!E157</f>
        <v>100</v>
      </c>
      <c r="P157" s="7">
        <f t="shared" si="22"/>
        <v>3.7233131529760443E-4</v>
      </c>
      <c r="Q157" s="20">
        <f t="shared" si="29"/>
        <v>14893.252611904178</v>
      </c>
      <c r="R157" s="19">
        <f t="shared" si="23"/>
        <v>14935.576715756804</v>
      </c>
      <c r="S157" s="22">
        <f t="shared" si="24"/>
        <v>0.1017465305722165</v>
      </c>
      <c r="T157" s="21">
        <f t="shared" si="25"/>
        <v>0.73491743419259903</v>
      </c>
    </row>
    <row r="158" spans="1:20" x14ac:dyDescent="0.3">
      <c r="A158" s="7" t="s">
        <v>164</v>
      </c>
      <c r="B158" s="7" t="s">
        <v>258</v>
      </c>
      <c r="C158" s="19">
        <v>162085</v>
      </c>
      <c r="D158" s="15">
        <v>0.09</v>
      </c>
      <c r="E158" s="18">
        <f t="shared" si="26"/>
        <v>147497.35</v>
      </c>
      <c r="F158" s="19">
        <f>Cost_Drivers!B158*Finance_Assumptions!$B$4</f>
        <v>7700</v>
      </c>
      <c r="G158" s="19">
        <f>Cost_Drivers!C158*Finance_Assumptions!$B$5</f>
        <v>118400</v>
      </c>
      <c r="H158" s="19">
        <f>Cost_Drivers!D158*Finance_Assumptions!$B$6</f>
        <v>16000</v>
      </c>
      <c r="I158" s="19">
        <f>Cost_Drivers!E158*Finance_Assumptions!$B$7</f>
        <v>10800</v>
      </c>
      <c r="J158" s="19">
        <f t="shared" si="27"/>
        <v>152900</v>
      </c>
      <c r="K158" s="19">
        <f t="shared" si="20"/>
        <v>30722.032488196557</v>
      </c>
      <c r="L158" s="24">
        <f t="shared" si="21"/>
        <v>2.281704050233875E-4</v>
      </c>
      <c r="M158" s="20">
        <f t="shared" si="28"/>
        <v>9126.8162009355001</v>
      </c>
      <c r="N158" s="7">
        <f>Cost_Drivers!B158+Cost_Drivers!C158+Cost_Drivers!E158</f>
        <v>145</v>
      </c>
      <c r="P158" s="7">
        <f t="shared" si="22"/>
        <v>5.3988040718152641E-4</v>
      </c>
      <c r="Q158" s="20">
        <f t="shared" si="29"/>
        <v>21595.216287261057</v>
      </c>
      <c r="R158" s="19">
        <f t="shared" si="23"/>
        <v>-36124.682488196551</v>
      </c>
      <c r="S158" s="22">
        <f t="shared" si="24"/>
        <v>-0.24491750182763655</v>
      </c>
      <c r="T158" s="21">
        <f t="shared" si="25"/>
        <v>1.0366287936698524</v>
      </c>
    </row>
    <row r="159" spans="1:20" x14ac:dyDescent="0.3">
      <c r="A159" s="7" t="s">
        <v>165</v>
      </c>
      <c r="B159" s="7" t="s">
        <v>259</v>
      </c>
      <c r="C159" s="19">
        <v>1848335</v>
      </c>
      <c r="D159" s="15">
        <v>0.09</v>
      </c>
      <c r="E159" s="18">
        <f t="shared" si="26"/>
        <v>1681984.85</v>
      </c>
      <c r="F159" s="19">
        <f>Cost_Drivers!B159*Finance_Assumptions!$B$4</f>
        <v>17500</v>
      </c>
      <c r="G159" s="19">
        <f>Cost_Drivers!C159*Finance_Assumptions!$B$5</f>
        <v>225600</v>
      </c>
      <c r="H159" s="19">
        <f>Cost_Drivers!D159*Finance_Assumptions!$B$6</f>
        <v>27250</v>
      </c>
      <c r="I159" s="19">
        <f>Cost_Drivers!E159*Finance_Assumptions!$B$7</f>
        <v>44460</v>
      </c>
      <c r="J159" s="19">
        <f t="shared" si="27"/>
        <v>314810</v>
      </c>
      <c r="K159" s="19">
        <f t="shared" si="20"/>
        <v>165586.70877382936</v>
      </c>
      <c r="L159" s="24">
        <f t="shared" si="21"/>
        <v>2.6019393871666279E-3</v>
      </c>
      <c r="M159" s="20">
        <f t="shared" si="28"/>
        <v>104077.57548666511</v>
      </c>
      <c r="N159" s="7">
        <f>Cost_Drivers!B159+Cost_Drivers!C159+Cost_Drivers!E159</f>
        <v>413</v>
      </c>
      <c r="P159" s="7">
        <f t="shared" si="22"/>
        <v>1.5377283321791062E-3</v>
      </c>
      <c r="Q159" s="20">
        <f t="shared" si="29"/>
        <v>61509.133287164244</v>
      </c>
      <c r="R159" s="19">
        <f t="shared" si="23"/>
        <v>1201588.1412261708</v>
      </c>
      <c r="S159" s="22">
        <f t="shared" si="24"/>
        <v>0.71438701794856874</v>
      </c>
      <c r="T159" s="21">
        <f t="shared" si="25"/>
        <v>0.1871657761959033</v>
      </c>
    </row>
    <row r="160" spans="1:20" x14ac:dyDescent="0.3">
      <c r="A160" s="7" t="s">
        <v>166</v>
      </c>
      <c r="B160" s="7" t="s">
        <v>260</v>
      </c>
      <c r="C160" s="19">
        <v>14870978</v>
      </c>
      <c r="D160" s="15">
        <v>0.24</v>
      </c>
      <c r="E160" s="18">
        <f t="shared" si="26"/>
        <v>11301943.279999999</v>
      </c>
      <c r="F160" s="19">
        <f>Cost_Drivers!B160*Finance_Assumptions!$B$4</f>
        <v>141400</v>
      </c>
      <c r="G160" s="19">
        <f>Cost_Drivers!C160*Finance_Assumptions!$B$5</f>
        <v>1865600</v>
      </c>
      <c r="H160" s="19">
        <f>Cost_Drivers!D160*Finance_Assumptions!$B$6</f>
        <v>317750</v>
      </c>
      <c r="I160" s="19">
        <f>Cost_Drivers!E160*Finance_Assumptions!$B$7</f>
        <v>424260</v>
      </c>
      <c r="J160" s="19">
        <f t="shared" si="27"/>
        <v>2749010</v>
      </c>
      <c r="K160" s="19">
        <f t="shared" si="20"/>
        <v>1254113.4040665182</v>
      </c>
      <c r="L160" s="24">
        <f t="shared" si="21"/>
        <v>1.7483493606827188E-2</v>
      </c>
      <c r="M160" s="20">
        <f t="shared" si="28"/>
        <v>699339.74427308759</v>
      </c>
      <c r="N160" s="7">
        <f>Cost_Drivers!B160+Cost_Drivers!C160+Cost_Drivers!E160</f>
        <v>3725</v>
      </c>
      <c r="P160" s="7">
        <f t="shared" si="22"/>
        <v>1.3869341494835765E-2</v>
      </c>
      <c r="Q160" s="20">
        <f t="shared" si="29"/>
        <v>554773.65979343059</v>
      </c>
      <c r="R160" s="19">
        <f t="shared" si="23"/>
        <v>7298819.8759334814</v>
      </c>
      <c r="S160" s="22">
        <f t="shared" si="24"/>
        <v>0.64580220366611873</v>
      </c>
      <c r="T160" s="21">
        <f t="shared" si="25"/>
        <v>0.24323339198354216</v>
      </c>
    </row>
    <row r="161" spans="1:20" x14ac:dyDescent="0.3">
      <c r="A161" s="7" t="s">
        <v>167</v>
      </c>
      <c r="B161" s="7" t="s">
        <v>260</v>
      </c>
      <c r="C161" s="19">
        <v>10292169</v>
      </c>
      <c r="D161" s="15">
        <v>0.33</v>
      </c>
      <c r="E161" s="18">
        <f t="shared" si="26"/>
        <v>6895753.2299999995</v>
      </c>
      <c r="F161" s="19">
        <f>Cost_Drivers!B161*Finance_Assumptions!$B$4</f>
        <v>131600</v>
      </c>
      <c r="G161" s="19">
        <f>Cost_Drivers!C161*Finance_Assumptions!$B$5</f>
        <v>1115200</v>
      </c>
      <c r="H161" s="19">
        <f>Cost_Drivers!D161*Finance_Assumptions!$B$6</f>
        <v>470500</v>
      </c>
      <c r="I161" s="19">
        <f>Cost_Drivers!E161*Finance_Assumptions!$B$7</f>
        <v>628200</v>
      </c>
      <c r="J161" s="19">
        <f t="shared" si="27"/>
        <v>2345500</v>
      </c>
      <c r="K161" s="19">
        <f t="shared" si="20"/>
        <v>1078274.0596487783</v>
      </c>
      <c r="L161" s="24">
        <f t="shared" si="21"/>
        <v>1.0667356446949267E-2</v>
      </c>
      <c r="M161" s="20">
        <f t="shared" si="28"/>
        <v>426694.2578779707</v>
      </c>
      <c r="N161" s="7">
        <f>Cost_Drivers!B161+Cost_Drivers!C161+Cost_Drivers!E161</f>
        <v>4375</v>
      </c>
      <c r="P161" s="7">
        <f t="shared" si="22"/>
        <v>1.6289495044270193E-2</v>
      </c>
      <c r="Q161" s="20">
        <f t="shared" si="29"/>
        <v>651579.80177080771</v>
      </c>
      <c r="R161" s="19">
        <f t="shared" si="23"/>
        <v>3471979.1703512212</v>
      </c>
      <c r="S161" s="22">
        <f t="shared" si="24"/>
        <v>0.50349527521465864</v>
      </c>
      <c r="T161" s="21">
        <f t="shared" si="25"/>
        <v>0.34013688160937861</v>
      </c>
    </row>
    <row r="162" spans="1:20" x14ac:dyDescent="0.3">
      <c r="A162" s="7" t="s">
        <v>168</v>
      </c>
      <c r="B162" s="7" t="s">
        <v>258</v>
      </c>
      <c r="C162" s="19">
        <v>168811</v>
      </c>
      <c r="D162" s="15">
        <v>0.08</v>
      </c>
      <c r="E162" s="18">
        <f t="shared" si="26"/>
        <v>155306.12</v>
      </c>
      <c r="F162" s="19">
        <f>Cost_Drivers!B162*Finance_Assumptions!$B$4</f>
        <v>16800</v>
      </c>
      <c r="G162" s="19">
        <f>Cost_Drivers!C162*Finance_Assumptions!$B$5</f>
        <v>57600</v>
      </c>
      <c r="H162" s="19">
        <f>Cost_Drivers!D162*Finance_Assumptions!$B$6</f>
        <v>18750</v>
      </c>
      <c r="I162" s="19">
        <f>Cost_Drivers!E162*Finance_Assumptions!$B$7</f>
        <v>13500</v>
      </c>
      <c r="J162" s="19">
        <f t="shared" si="27"/>
        <v>106650</v>
      </c>
      <c r="K162" s="19">
        <f t="shared" si="20"/>
        <v>29715.896982926359</v>
      </c>
      <c r="L162" s="24">
        <f t="shared" si="21"/>
        <v>2.4025014892139294E-4</v>
      </c>
      <c r="M162" s="20">
        <f t="shared" si="28"/>
        <v>9610.0059568557172</v>
      </c>
      <c r="N162" s="7">
        <f>Cost_Drivers!B162+Cost_Drivers!C162+Cost_Drivers!E162</f>
        <v>135</v>
      </c>
      <c r="P162" s="7">
        <f t="shared" si="22"/>
        <v>5.0264727565176601E-4</v>
      </c>
      <c r="Q162" s="20">
        <f t="shared" si="29"/>
        <v>20105.89102607064</v>
      </c>
      <c r="R162" s="19">
        <f t="shared" si="23"/>
        <v>18940.223017073637</v>
      </c>
      <c r="S162" s="22">
        <f t="shared" si="24"/>
        <v>0.12195413173076268</v>
      </c>
      <c r="T162" s="21">
        <f t="shared" si="25"/>
        <v>0.68670828940932915</v>
      </c>
    </row>
    <row r="163" spans="1:20" x14ac:dyDescent="0.3">
      <c r="A163" s="7" t="s">
        <v>169</v>
      </c>
      <c r="B163" s="7" t="s">
        <v>258</v>
      </c>
      <c r="C163" s="19">
        <v>228430</v>
      </c>
      <c r="D163" s="15">
        <v>0.03</v>
      </c>
      <c r="E163" s="18">
        <f t="shared" si="26"/>
        <v>221577.1</v>
      </c>
      <c r="F163" s="19">
        <f>Cost_Drivers!B163*Finance_Assumptions!$B$4</f>
        <v>9100</v>
      </c>
      <c r="G163" s="19">
        <f>Cost_Drivers!C163*Finance_Assumptions!$B$5</f>
        <v>70400</v>
      </c>
      <c r="H163" s="19">
        <f>Cost_Drivers!D163*Finance_Assumptions!$B$6</f>
        <v>10500</v>
      </c>
      <c r="I163" s="19">
        <f>Cost_Drivers!E163*Finance_Assumptions!$B$7</f>
        <v>5940</v>
      </c>
      <c r="J163" s="19">
        <f t="shared" si="27"/>
        <v>95940</v>
      </c>
      <c r="K163" s="19">
        <f t="shared" si="20"/>
        <v>27114.637855250316</v>
      </c>
      <c r="L163" s="24">
        <f t="shared" si="21"/>
        <v>3.4276776261341394E-4</v>
      </c>
      <c r="M163" s="20">
        <f t="shared" si="28"/>
        <v>13710.710504536557</v>
      </c>
      <c r="N163" s="7">
        <f>Cost_Drivers!B163+Cost_Drivers!C163+Cost_Drivers!E163</f>
        <v>90</v>
      </c>
      <c r="P163" s="7">
        <f t="shared" si="22"/>
        <v>3.3509818376784397E-4</v>
      </c>
      <c r="Q163" s="20">
        <f t="shared" si="29"/>
        <v>13403.927350713759</v>
      </c>
      <c r="R163" s="19">
        <f t="shared" si="23"/>
        <v>98522.46214474969</v>
      </c>
      <c r="S163" s="22">
        <f t="shared" si="24"/>
        <v>0.44464189731136333</v>
      </c>
      <c r="T163" s="21">
        <f t="shared" si="25"/>
        <v>0.43298698286059345</v>
      </c>
    </row>
    <row r="164" spans="1:20" x14ac:dyDescent="0.3">
      <c r="A164" s="7" t="s">
        <v>170</v>
      </c>
      <c r="B164" s="7" t="s">
        <v>260</v>
      </c>
      <c r="C164" s="19">
        <v>12990752</v>
      </c>
      <c r="D164" s="15">
        <v>0.15</v>
      </c>
      <c r="E164" s="18">
        <f t="shared" si="26"/>
        <v>11042139.199999999</v>
      </c>
      <c r="F164" s="19">
        <f>Cost_Drivers!B164*Finance_Assumptions!$B$4</f>
        <v>70700</v>
      </c>
      <c r="G164" s="19">
        <f>Cost_Drivers!C164*Finance_Assumptions!$B$5</f>
        <v>529600</v>
      </c>
      <c r="H164" s="19">
        <f>Cost_Drivers!D164*Finance_Assumptions!$B$6</f>
        <v>474750</v>
      </c>
      <c r="I164" s="19">
        <f>Cost_Drivers!E164*Finance_Assumptions!$B$7</f>
        <v>143640</v>
      </c>
      <c r="J164" s="19">
        <f t="shared" si="27"/>
        <v>1218690</v>
      </c>
      <c r="K164" s="19">
        <f t="shared" si="20"/>
        <v>866450.63825975987</v>
      </c>
      <c r="L164" s="24">
        <f t="shared" si="21"/>
        <v>1.7081590778333464E-2</v>
      </c>
      <c r="M164" s="20">
        <f t="shared" si="28"/>
        <v>683263.63113333855</v>
      </c>
      <c r="N164" s="7">
        <f>Cost_Drivers!B164+Cost_Drivers!C164+Cost_Drivers!E164</f>
        <v>1230</v>
      </c>
      <c r="P164" s="7">
        <f t="shared" si="22"/>
        <v>4.5796751781605341E-3</v>
      </c>
      <c r="Q164" s="20">
        <f t="shared" si="29"/>
        <v>183187.00712642138</v>
      </c>
      <c r="R164" s="19">
        <f t="shared" si="23"/>
        <v>8956998.5617402401</v>
      </c>
      <c r="S164" s="22">
        <f t="shared" si="24"/>
        <v>0.81116515554705571</v>
      </c>
      <c r="T164" s="21">
        <f t="shared" si="25"/>
        <v>0.11036720131186176</v>
      </c>
    </row>
    <row r="165" spans="1:20" x14ac:dyDescent="0.3">
      <c r="A165" s="7" t="s">
        <v>171</v>
      </c>
      <c r="B165" s="7" t="s">
        <v>258</v>
      </c>
      <c r="C165" s="19">
        <v>511929</v>
      </c>
      <c r="D165" s="15">
        <v>0.06</v>
      </c>
      <c r="E165" s="18">
        <f t="shared" si="26"/>
        <v>481213.25999999995</v>
      </c>
      <c r="F165" s="19">
        <f>Cost_Drivers!B165*Finance_Assumptions!$B$4</f>
        <v>20300</v>
      </c>
      <c r="G165" s="19">
        <f>Cost_Drivers!C165*Finance_Assumptions!$B$5</f>
        <v>48000</v>
      </c>
      <c r="H165" s="19">
        <f>Cost_Drivers!D165*Finance_Assumptions!$B$6</f>
        <v>14250</v>
      </c>
      <c r="I165" s="19">
        <f>Cost_Drivers!E165*Finance_Assumptions!$B$7</f>
        <v>16740</v>
      </c>
      <c r="J165" s="19">
        <f t="shared" si="27"/>
        <v>99290</v>
      </c>
      <c r="K165" s="19">
        <f t="shared" si="20"/>
        <v>52414.177088879107</v>
      </c>
      <c r="L165" s="24">
        <f t="shared" si="21"/>
        <v>7.4441082796961879E-4</v>
      </c>
      <c r="M165" s="20">
        <f t="shared" si="28"/>
        <v>29776.433118784753</v>
      </c>
      <c r="N165" s="7">
        <f>Cost_Drivers!B165+Cost_Drivers!C165+Cost_Drivers!E165</f>
        <v>152</v>
      </c>
      <c r="P165" s="7">
        <f t="shared" si="22"/>
        <v>5.6594359925235874E-4</v>
      </c>
      <c r="Q165" s="20">
        <f t="shared" si="29"/>
        <v>22637.743970094351</v>
      </c>
      <c r="R165" s="19">
        <f t="shared" si="23"/>
        <v>329509.08291112084</v>
      </c>
      <c r="S165" s="22">
        <f t="shared" si="24"/>
        <v>0.68474647375909981</v>
      </c>
      <c r="T165" s="21">
        <f t="shared" si="25"/>
        <v>0.20633263513977151</v>
      </c>
    </row>
    <row r="166" spans="1:20" x14ac:dyDescent="0.3">
      <c r="A166" s="7" t="s">
        <v>172</v>
      </c>
      <c r="B166" s="7" t="s">
        <v>260</v>
      </c>
      <c r="C166" s="19">
        <v>2976344</v>
      </c>
      <c r="D166" s="15">
        <v>0.31</v>
      </c>
      <c r="E166" s="18">
        <f t="shared" si="26"/>
        <v>2053677.3599999999</v>
      </c>
      <c r="F166" s="19">
        <f>Cost_Drivers!B166*Finance_Assumptions!$B$4</f>
        <v>173600</v>
      </c>
      <c r="G166" s="19">
        <f>Cost_Drivers!C166*Finance_Assumptions!$B$5</f>
        <v>907200</v>
      </c>
      <c r="H166" s="19">
        <f>Cost_Drivers!D166*Finance_Assumptions!$B$6</f>
        <v>332250</v>
      </c>
      <c r="I166" s="19">
        <f>Cost_Drivers!E166*Finance_Assumptions!$B$7</f>
        <v>471780</v>
      </c>
      <c r="J166" s="19">
        <f t="shared" si="27"/>
        <v>1884830</v>
      </c>
      <c r="K166" s="19">
        <f t="shared" si="20"/>
        <v>638809.26181325072</v>
      </c>
      <c r="L166" s="24">
        <f t="shared" si="21"/>
        <v>3.1769275517055805E-3</v>
      </c>
      <c r="M166" s="20">
        <f t="shared" si="28"/>
        <v>127077.10206822322</v>
      </c>
      <c r="N166" s="7">
        <f>Cost_Drivers!B166+Cost_Drivers!C166+Cost_Drivers!E166</f>
        <v>3436</v>
      </c>
      <c r="P166" s="7">
        <f t="shared" si="22"/>
        <v>1.2793303993625688E-2</v>
      </c>
      <c r="Q166" s="20">
        <f t="shared" si="29"/>
        <v>511732.15974502749</v>
      </c>
      <c r="R166" s="19">
        <f t="shared" si="23"/>
        <v>-469961.90181325085</v>
      </c>
      <c r="S166" s="22">
        <f t="shared" si="24"/>
        <v>-0.22883920861515017</v>
      </c>
      <c r="T166" s="21">
        <f t="shared" si="25"/>
        <v>0.91778291795552547</v>
      </c>
    </row>
    <row r="167" spans="1:20" x14ac:dyDescent="0.3">
      <c r="A167" s="7" t="s">
        <v>173</v>
      </c>
      <c r="B167" s="7" t="s">
        <v>259</v>
      </c>
      <c r="C167" s="19">
        <v>1982053</v>
      </c>
      <c r="D167" s="15">
        <v>0.19</v>
      </c>
      <c r="E167" s="18">
        <f t="shared" si="26"/>
        <v>1605462.9300000002</v>
      </c>
      <c r="F167" s="19">
        <f>Cost_Drivers!B167*Finance_Assumptions!$B$4</f>
        <v>53200</v>
      </c>
      <c r="G167" s="19">
        <f>Cost_Drivers!C167*Finance_Assumptions!$B$5</f>
        <v>169600</v>
      </c>
      <c r="H167" s="19">
        <f>Cost_Drivers!D167*Finance_Assumptions!$B$6</f>
        <v>32750</v>
      </c>
      <c r="I167" s="19">
        <f>Cost_Drivers!E167*Finance_Assumptions!$B$7</f>
        <v>84240</v>
      </c>
      <c r="J167" s="19">
        <f t="shared" si="27"/>
        <v>339790</v>
      </c>
      <c r="K167" s="19">
        <f t="shared" si="20"/>
        <v>196148.70697617461</v>
      </c>
      <c r="L167" s="24">
        <f t="shared" si="21"/>
        <v>2.483564124969936E-3</v>
      </c>
      <c r="M167" s="20">
        <f t="shared" si="28"/>
        <v>99342.564998797447</v>
      </c>
      <c r="N167" s="7">
        <f>Cost_Drivers!B167+Cost_Drivers!C167+Cost_Drivers!E167</f>
        <v>650</v>
      </c>
      <c r="P167" s="7">
        <f t="shared" si="22"/>
        <v>2.4201535494344289E-3</v>
      </c>
      <c r="Q167" s="20">
        <f t="shared" si="29"/>
        <v>96806.141977377163</v>
      </c>
      <c r="R167" s="19">
        <f t="shared" si="23"/>
        <v>1069524.2230238256</v>
      </c>
      <c r="S167" s="22">
        <f t="shared" si="24"/>
        <v>0.66617808673030243</v>
      </c>
      <c r="T167" s="21">
        <f t="shared" si="25"/>
        <v>0.21164612003841157</v>
      </c>
    </row>
    <row r="168" spans="1:20" x14ac:dyDescent="0.3">
      <c r="A168" s="7" t="s">
        <v>174</v>
      </c>
      <c r="B168" s="7" t="s">
        <v>259</v>
      </c>
      <c r="C168" s="19">
        <v>1653690</v>
      </c>
      <c r="D168" s="15">
        <v>0.04</v>
      </c>
      <c r="E168" s="18">
        <f t="shared" si="26"/>
        <v>1587542.4</v>
      </c>
      <c r="F168" s="19">
        <f>Cost_Drivers!B168*Finance_Assumptions!$B$4</f>
        <v>10500</v>
      </c>
      <c r="G168" s="19">
        <f>Cost_Drivers!C168*Finance_Assumptions!$B$5</f>
        <v>353600</v>
      </c>
      <c r="H168" s="19">
        <f>Cost_Drivers!D168*Finance_Assumptions!$B$6</f>
        <v>27000</v>
      </c>
      <c r="I168" s="19">
        <f>Cost_Drivers!E168*Finance_Assumptions!$B$7</f>
        <v>86580</v>
      </c>
      <c r="J168" s="19">
        <f t="shared" si="27"/>
        <v>477680</v>
      </c>
      <c r="K168" s="19">
        <f t="shared" si="20"/>
        <v>205018.30268666067</v>
      </c>
      <c r="L168" s="24">
        <f t="shared" si="21"/>
        <v>2.4558420364826933E-3</v>
      </c>
      <c r="M168" s="20">
        <f t="shared" si="28"/>
        <v>98233.681459307729</v>
      </c>
      <c r="N168" s="7">
        <f>Cost_Drivers!B168+Cost_Drivers!C168+Cost_Drivers!E168</f>
        <v>717</v>
      </c>
      <c r="P168" s="7">
        <f t="shared" si="22"/>
        <v>2.6696155306838239E-3</v>
      </c>
      <c r="Q168" s="20">
        <f t="shared" si="29"/>
        <v>106784.62122735295</v>
      </c>
      <c r="R168" s="19">
        <f t="shared" si="23"/>
        <v>904844.09731333924</v>
      </c>
      <c r="S168" s="22">
        <f t="shared" si="24"/>
        <v>0.56996531073018231</v>
      </c>
      <c r="T168" s="21">
        <f t="shared" si="25"/>
        <v>0.3008927509589665</v>
      </c>
    </row>
    <row r="169" spans="1:20" x14ac:dyDescent="0.3">
      <c r="A169" s="7" t="s">
        <v>175</v>
      </c>
      <c r="B169" s="7" t="s">
        <v>260</v>
      </c>
      <c r="C169" s="19">
        <v>10057886</v>
      </c>
      <c r="D169" s="15">
        <v>0.2</v>
      </c>
      <c r="E169" s="18">
        <f t="shared" si="26"/>
        <v>8046308.8000000007</v>
      </c>
      <c r="F169" s="19">
        <f>Cost_Drivers!B169*Finance_Assumptions!$B$4</f>
        <v>47600</v>
      </c>
      <c r="G169" s="19">
        <f>Cost_Drivers!C169*Finance_Assumptions!$B$5</f>
        <v>1700800</v>
      </c>
      <c r="H169" s="19">
        <f>Cost_Drivers!D169*Finance_Assumptions!$B$6</f>
        <v>115000</v>
      </c>
      <c r="I169" s="19">
        <f>Cost_Drivers!E169*Finance_Assumptions!$B$7</f>
        <v>426960</v>
      </c>
      <c r="J169" s="19">
        <f t="shared" si="27"/>
        <v>2290360</v>
      </c>
      <c r="K169" s="19">
        <f t="shared" si="20"/>
        <v>1019598.7808061604</v>
      </c>
      <c r="L169" s="24">
        <f t="shared" si="21"/>
        <v>1.2447203545278928E-2</v>
      </c>
      <c r="M169" s="20">
        <f t="shared" si="28"/>
        <v>497888.14181115711</v>
      </c>
      <c r="N169" s="7">
        <f>Cost_Drivers!B169+Cost_Drivers!C169+Cost_Drivers!E169</f>
        <v>3503</v>
      </c>
      <c r="P169" s="7">
        <f t="shared" si="22"/>
        <v>1.3042765974875083E-2</v>
      </c>
      <c r="Q169" s="20">
        <f t="shared" si="29"/>
        <v>521710.6389950033</v>
      </c>
      <c r="R169" s="19">
        <f t="shared" si="23"/>
        <v>4736350.0191938402</v>
      </c>
      <c r="S169" s="22">
        <f t="shared" si="24"/>
        <v>0.58863637189686779</v>
      </c>
      <c r="T169" s="21">
        <f t="shared" si="25"/>
        <v>0.28464729069309391</v>
      </c>
    </row>
    <row r="170" spans="1:20" x14ac:dyDescent="0.3">
      <c r="A170" s="7" t="s">
        <v>176</v>
      </c>
      <c r="B170" s="7" t="s">
        <v>260</v>
      </c>
      <c r="C170" s="19">
        <v>8884691</v>
      </c>
      <c r="D170" s="15">
        <v>0.21</v>
      </c>
      <c r="E170" s="18">
        <f t="shared" si="26"/>
        <v>7018905.8900000006</v>
      </c>
      <c r="F170" s="19">
        <f>Cost_Drivers!B170*Finance_Assumptions!$B$4</f>
        <v>86800</v>
      </c>
      <c r="G170" s="19">
        <f>Cost_Drivers!C170*Finance_Assumptions!$B$5</f>
        <v>1478400</v>
      </c>
      <c r="H170" s="19">
        <f>Cost_Drivers!D170*Finance_Assumptions!$B$6</f>
        <v>442250</v>
      </c>
      <c r="I170" s="19">
        <f>Cost_Drivers!E170*Finance_Assumptions!$B$7</f>
        <v>100260</v>
      </c>
      <c r="J170" s="19">
        <f t="shared" si="27"/>
        <v>2107710</v>
      </c>
      <c r="K170" s="19">
        <f t="shared" si="20"/>
        <v>673351.38186912204</v>
      </c>
      <c r="L170" s="24">
        <f t="shared" si="21"/>
        <v>1.0857866936201499E-2</v>
      </c>
      <c r="M170" s="20">
        <f t="shared" si="28"/>
        <v>434314.67744805996</v>
      </c>
      <c r="N170" s="7">
        <f>Cost_Drivers!B170+Cost_Drivers!C170+Cost_Drivers!E170</f>
        <v>1605</v>
      </c>
      <c r="P170" s="7">
        <f t="shared" si="22"/>
        <v>5.9759176105265511E-3</v>
      </c>
      <c r="Q170" s="20">
        <f t="shared" si="29"/>
        <v>239036.70442106205</v>
      </c>
      <c r="R170" s="19">
        <f t="shared" si="23"/>
        <v>4237844.5081308782</v>
      </c>
      <c r="S170" s="22">
        <f t="shared" si="24"/>
        <v>0.60377565599912575</v>
      </c>
      <c r="T170" s="21">
        <f t="shared" si="25"/>
        <v>0.30029039184054368</v>
      </c>
    </row>
    <row r="171" spans="1:20" x14ac:dyDescent="0.3">
      <c r="A171" s="7" t="s">
        <v>177</v>
      </c>
      <c r="B171" s="7" t="s">
        <v>259</v>
      </c>
      <c r="C171" s="19">
        <v>723941</v>
      </c>
      <c r="D171" s="15">
        <v>0.03</v>
      </c>
      <c r="E171" s="18">
        <f t="shared" si="26"/>
        <v>702222.77</v>
      </c>
      <c r="F171" s="19">
        <f>Cost_Drivers!B171*Finance_Assumptions!$B$4</f>
        <v>44100</v>
      </c>
      <c r="G171" s="19">
        <f>Cost_Drivers!C171*Finance_Assumptions!$B$5</f>
        <v>360000</v>
      </c>
      <c r="H171" s="19">
        <f>Cost_Drivers!D171*Finance_Assumptions!$B$6</f>
        <v>40000</v>
      </c>
      <c r="I171" s="19">
        <f>Cost_Drivers!E171*Finance_Assumptions!$B$7</f>
        <v>40500</v>
      </c>
      <c r="J171" s="19">
        <f t="shared" si="27"/>
        <v>484600</v>
      </c>
      <c r="K171" s="19">
        <f t="shared" si="20"/>
        <v>119854.40828388958</v>
      </c>
      <c r="L171" s="24">
        <f t="shared" si="21"/>
        <v>1.0863005596205293E-3</v>
      </c>
      <c r="M171" s="20">
        <f t="shared" si="28"/>
        <v>43452.022384821168</v>
      </c>
      <c r="N171" s="7">
        <f>Cost_Drivers!B171+Cost_Drivers!C171+Cost_Drivers!E171</f>
        <v>513</v>
      </c>
      <c r="P171" s="7">
        <f t="shared" si="22"/>
        <v>1.9100596474767107E-3</v>
      </c>
      <c r="Q171" s="20">
        <f t="shared" si="29"/>
        <v>76402.385899068424</v>
      </c>
      <c r="R171" s="19">
        <f t="shared" si="23"/>
        <v>97768.361716110434</v>
      </c>
      <c r="S171" s="22">
        <f t="shared" si="24"/>
        <v>0.13922698877467393</v>
      </c>
      <c r="T171" s="21">
        <f t="shared" si="25"/>
        <v>0.69009439839155318</v>
      </c>
    </row>
    <row r="172" spans="1:20" x14ac:dyDescent="0.3">
      <c r="A172" s="7" t="s">
        <v>178</v>
      </c>
      <c r="B172" s="7" t="s">
        <v>258</v>
      </c>
      <c r="C172" s="19">
        <v>550461</v>
      </c>
      <c r="D172" s="15">
        <v>7.0000000000000007E-2</v>
      </c>
      <c r="E172" s="18">
        <f t="shared" si="26"/>
        <v>511928.73</v>
      </c>
      <c r="F172" s="19">
        <f>Cost_Drivers!B172*Finance_Assumptions!$B$4</f>
        <v>25900</v>
      </c>
      <c r="G172" s="19">
        <f>Cost_Drivers!C172*Finance_Assumptions!$B$5</f>
        <v>156800</v>
      </c>
      <c r="H172" s="19">
        <f>Cost_Drivers!D172*Finance_Assumptions!$B$6</f>
        <v>20750</v>
      </c>
      <c r="I172" s="19">
        <f>Cost_Drivers!E172*Finance_Assumptions!$B$7</f>
        <v>5040</v>
      </c>
      <c r="J172" s="19">
        <f t="shared" si="27"/>
        <v>208490</v>
      </c>
      <c r="K172" s="19">
        <f t="shared" si="20"/>
        <v>55953.041559734731</v>
      </c>
      <c r="L172" s="24">
        <f t="shared" si="21"/>
        <v>7.9192599505827305E-4</v>
      </c>
      <c r="M172" s="20">
        <f t="shared" si="28"/>
        <v>31677.039802330921</v>
      </c>
      <c r="N172" s="7">
        <f>Cost_Drivers!B172+Cost_Drivers!C172+Cost_Drivers!E172</f>
        <v>163</v>
      </c>
      <c r="P172" s="7">
        <f t="shared" si="22"/>
        <v>6.0690004393509521E-4</v>
      </c>
      <c r="Q172" s="20">
        <f t="shared" si="29"/>
        <v>24276.001757403807</v>
      </c>
      <c r="R172" s="19">
        <f t="shared" si="23"/>
        <v>247485.68844026525</v>
      </c>
      <c r="S172" s="22">
        <f t="shared" si="24"/>
        <v>0.48343777939609928</v>
      </c>
      <c r="T172" s="21">
        <f t="shared" si="25"/>
        <v>0.40726372204193345</v>
      </c>
    </row>
    <row r="173" spans="1:20" x14ac:dyDescent="0.3">
      <c r="A173" s="7" t="s">
        <v>179</v>
      </c>
      <c r="B173" s="7" t="s">
        <v>260</v>
      </c>
      <c r="C173" s="19">
        <v>8111340</v>
      </c>
      <c r="D173" s="15">
        <v>0.26</v>
      </c>
      <c r="E173" s="18">
        <f t="shared" si="26"/>
        <v>6002391.5999999996</v>
      </c>
      <c r="F173" s="19">
        <f>Cost_Drivers!B173*Finance_Assumptions!$B$4</f>
        <v>127400</v>
      </c>
      <c r="G173" s="19">
        <f>Cost_Drivers!C173*Finance_Assumptions!$B$5</f>
        <v>372800</v>
      </c>
      <c r="H173" s="19">
        <f>Cost_Drivers!D173*Finance_Assumptions!$B$6</f>
        <v>472000</v>
      </c>
      <c r="I173" s="19">
        <f>Cost_Drivers!E173*Finance_Assumptions!$B$7</f>
        <v>216900</v>
      </c>
      <c r="J173" s="19">
        <f t="shared" si="27"/>
        <v>1189100</v>
      </c>
      <c r="K173" s="19">
        <f t="shared" si="20"/>
        <v>612685.66959372186</v>
      </c>
      <c r="L173" s="24">
        <f t="shared" si="21"/>
        <v>9.2853744320218548E-3</v>
      </c>
      <c r="M173" s="20">
        <f t="shared" si="28"/>
        <v>371414.97728087421</v>
      </c>
      <c r="N173" s="7">
        <f>Cost_Drivers!B173+Cost_Drivers!C173+Cost_Drivers!E173</f>
        <v>1620</v>
      </c>
      <c r="P173" s="7">
        <f t="shared" si="22"/>
        <v>6.0317673078211917E-3</v>
      </c>
      <c r="Q173" s="20">
        <f t="shared" si="29"/>
        <v>241270.69231284768</v>
      </c>
      <c r="R173" s="19">
        <f t="shared" si="23"/>
        <v>4200605.930406278</v>
      </c>
      <c r="S173" s="22">
        <f t="shared" si="24"/>
        <v>0.69982203933616693</v>
      </c>
      <c r="T173" s="21">
        <f t="shared" si="25"/>
        <v>0.19810436893187711</v>
      </c>
    </row>
    <row r="174" spans="1:20" x14ac:dyDescent="0.3">
      <c r="A174" s="7" t="s">
        <v>180</v>
      </c>
      <c r="B174" s="7" t="s">
        <v>260</v>
      </c>
      <c r="C174" s="19">
        <v>14088903</v>
      </c>
      <c r="D174" s="15">
        <v>0.17</v>
      </c>
      <c r="E174" s="18">
        <f t="shared" si="26"/>
        <v>11693789.49</v>
      </c>
      <c r="F174" s="19">
        <f>Cost_Drivers!B174*Finance_Assumptions!$B$4</f>
        <v>91700</v>
      </c>
      <c r="G174" s="19">
        <f>Cost_Drivers!C174*Finance_Assumptions!$B$5</f>
        <v>817600</v>
      </c>
      <c r="H174" s="19">
        <f>Cost_Drivers!D174*Finance_Assumptions!$B$6</f>
        <v>296000</v>
      </c>
      <c r="I174" s="19">
        <f>Cost_Drivers!E174*Finance_Assumptions!$B$7</f>
        <v>226620</v>
      </c>
      <c r="J174" s="19">
        <f t="shared" si="27"/>
        <v>1431920</v>
      </c>
      <c r="K174" s="19">
        <f t="shared" si="20"/>
        <v>1006707.0702638731</v>
      </c>
      <c r="L174" s="24">
        <f t="shared" si="21"/>
        <v>1.8089658452789367E-2</v>
      </c>
      <c r="M174" s="20">
        <f t="shared" si="28"/>
        <v>723586.33811157465</v>
      </c>
      <c r="N174" s="7">
        <f>Cost_Drivers!B174+Cost_Drivers!C174+Cost_Drivers!E174</f>
        <v>1901</v>
      </c>
      <c r="P174" s="7">
        <f t="shared" si="22"/>
        <v>7.0780183038074602E-3</v>
      </c>
      <c r="Q174" s="20">
        <f t="shared" si="29"/>
        <v>283120.73215229838</v>
      </c>
      <c r="R174" s="19">
        <f t="shared" si="23"/>
        <v>9255162.4197361264</v>
      </c>
      <c r="S174" s="22">
        <f t="shared" si="24"/>
        <v>0.79145963997818869</v>
      </c>
      <c r="T174" s="21">
        <f t="shared" si="25"/>
        <v>0.12245132351873729</v>
      </c>
    </row>
    <row r="175" spans="1:20" x14ac:dyDescent="0.3">
      <c r="A175" s="7" t="s">
        <v>181</v>
      </c>
      <c r="B175" s="7" t="s">
        <v>260</v>
      </c>
      <c r="C175" s="19">
        <v>7286850</v>
      </c>
      <c r="D175" s="15">
        <v>0.1</v>
      </c>
      <c r="E175" s="18">
        <f t="shared" si="26"/>
        <v>6558165</v>
      </c>
      <c r="F175" s="19">
        <f>Cost_Drivers!B175*Finance_Assumptions!$B$4</f>
        <v>172900</v>
      </c>
      <c r="G175" s="19">
        <f>Cost_Drivers!C175*Finance_Assumptions!$B$5</f>
        <v>1212800</v>
      </c>
      <c r="H175" s="19">
        <f>Cost_Drivers!D175*Finance_Assumptions!$B$6</f>
        <v>381000</v>
      </c>
      <c r="I175" s="19">
        <f>Cost_Drivers!E175*Finance_Assumptions!$B$7</f>
        <v>339660</v>
      </c>
      <c r="J175" s="19">
        <f t="shared" si="27"/>
        <v>2106360</v>
      </c>
      <c r="K175" s="19">
        <f t="shared" si="20"/>
        <v>836517.89573110384</v>
      </c>
      <c r="L175" s="24">
        <f t="shared" si="21"/>
        <v>1.0145125754870877E-2</v>
      </c>
      <c r="M175" s="20">
        <f t="shared" si="28"/>
        <v>405805.0301948351</v>
      </c>
      <c r="N175" s="7">
        <f>Cost_Drivers!B175+Cost_Drivers!C175+Cost_Drivers!E175</f>
        <v>2892</v>
      </c>
      <c r="P175" s="7">
        <f t="shared" si="22"/>
        <v>1.076782163840672E-2</v>
      </c>
      <c r="Q175" s="20">
        <f t="shared" si="29"/>
        <v>430712.8655362688</v>
      </c>
      <c r="R175" s="19">
        <f t="shared" si="23"/>
        <v>3615287.1042688964</v>
      </c>
      <c r="S175" s="22">
        <f t="shared" si="24"/>
        <v>0.5512650420153955</v>
      </c>
      <c r="T175" s="21">
        <f t="shared" si="25"/>
        <v>0.32118130605131162</v>
      </c>
    </row>
    <row r="176" spans="1:20" x14ac:dyDescent="0.3">
      <c r="A176" s="7" t="s">
        <v>182</v>
      </c>
      <c r="B176" s="7" t="s">
        <v>260</v>
      </c>
      <c r="C176" s="19">
        <v>2665397</v>
      </c>
      <c r="D176" s="15">
        <v>0.1</v>
      </c>
      <c r="E176" s="18">
        <f t="shared" si="26"/>
        <v>2398857.3000000003</v>
      </c>
      <c r="F176" s="19">
        <f>Cost_Drivers!B176*Finance_Assumptions!$B$4</f>
        <v>123200</v>
      </c>
      <c r="G176" s="19">
        <f>Cost_Drivers!C176*Finance_Assumptions!$B$5</f>
        <v>726400</v>
      </c>
      <c r="H176" s="19">
        <f>Cost_Drivers!D176*Finance_Assumptions!$B$6</f>
        <v>86750</v>
      </c>
      <c r="I176" s="19">
        <f>Cost_Drivers!E176*Finance_Assumptions!$B$7</f>
        <v>261180</v>
      </c>
      <c r="J176" s="19">
        <f t="shared" si="27"/>
        <v>1197530</v>
      </c>
      <c r="K176" s="19">
        <f t="shared" si="20"/>
        <v>458364.67515885411</v>
      </c>
      <c r="L176" s="24">
        <f t="shared" si="21"/>
        <v>3.7109022076282036E-3</v>
      </c>
      <c r="M176" s="20">
        <f t="shared" si="28"/>
        <v>148436.08830512816</v>
      </c>
      <c r="N176" s="7">
        <f>Cost_Drivers!B176+Cost_Drivers!C176+Cost_Drivers!E176</f>
        <v>2081</v>
      </c>
      <c r="P176" s="7">
        <f t="shared" si="22"/>
        <v>7.7482146713431484E-3</v>
      </c>
      <c r="Q176" s="20">
        <f t="shared" si="29"/>
        <v>309928.58685372595</v>
      </c>
      <c r="R176" s="19">
        <f t="shared" si="23"/>
        <v>742962.62484114617</v>
      </c>
      <c r="S176" s="22">
        <f t="shared" si="24"/>
        <v>0.30971522351127184</v>
      </c>
      <c r="T176" s="21">
        <f t="shared" si="25"/>
        <v>0.49920851898943713</v>
      </c>
    </row>
    <row r="177" spans="1:20" x14ac:dyDescent="0.3">
      <c r="A177" s="7" t="s">
        <v>183</v>
      </c>
      <c r="B177" s="7" t="s">
        <v>260</v>
      </c>
      <c r="C177" s="19">
        <v>10546871</v>
      </c>
      <c r="D177" s="15">
        <v>0.11</v>
      </c>
      <c r="E177" s="18">
        <f t="shared" si="26"/>
        <v>9386715.1899999995</v>
      </c>
      <c r="F177" s="19">
        <f>Cost_Drivers!B177*Finance_Assumptions!$B$4</f>
        <v>57400</v>
      </c>
      <c r="G177" s="19">
        <f>Cost_Drivers!C177*Finance_Assumptions!$B$5</f>
        <v>963200</v>
      </c>
      <c r="H177" s="19">
        <f>Cost_Drivers!D177*Finance_Assumptions!$B$6</f>
        <v>379000</v>
      </c>
      <c r="I177" s="19">
        <f>Cost_Drivers!E177*Finance_Assumptions!$B$7</f>
        <v>352980</v>
      </c>
      <c r="J177" s="19">
        <f t="shared" si="27"/>
        <v>1752580</v>
      </c>
      <c r="K177" s="19">
        <f t="shared" si="20"/>
        <v>974756.11441912875</v>
      </c>
      <c r="L177" s="24">
        <f t="shared" si="21"/>
        <v>1.4520739570856584E-2</v>
      </c>
      <c r="M177" s="20">
        <f t="shared" si="28"/>
        <v>580829.58283426333</v>
      </c>
      <c r="N177" s="7">
        <f>Cost_Drivers!B177+Cost_Drivers!C177+Cost_Drivers!E177</f>
        <v>2645</v>
      </c>
      <c r="P177" s="7">
        <f t="shared" si="22"/>
        <v>9.8481632896216375E-3</v>
      </c>
      <c r="Q177" s="20">
        <f t="shared" si="29"/>
        <v>393926.53158486547</v>
      </c>
      <c r="R177" s="19">
        <f t="shared" si="23"/>
        <v>6659379.0755808707</v>
      </c>
      <c r="S177" s="22">
        <f t="shared" si="24"/>
        <v>0.70944722842718644</v>
      </c>
      <c r="T177" s="21">
        <f t="shared" si="25"/>
        <v>0.1867085518762821</v>
      </c>
    </row>
    <row r="178" spans="1:20" x14ac:dyDescent="0.3">
      <c r="A178" s="7" t="s">
        <v>184</v>
      </c>
      <c r="B178" s="7" t="s">
        <v>259</v>
      </c>
      <c r="C178" s="19">
        <v>650420</v>
      </c>
      <c r="D178" s="15">
        <v>0.18</v>
      </c>
      <c r="E178" s="18">
        <f t="shared" si="26"/>
        <v>533344.4</v>
      </c>
      <c r="F178" s="19">
        <f>Cost_Drivers!B178*Finance_Assumptions!$B$4</f>
        <v>46900</v>
      </c>
      <c r="G178" s="19">
        <f>Cost_Drivers!C178*Finance_Assumptions!$B$5</f>
        <v>208000</v>
      </c>
      <c r="H178" s="19">
        <f>Cost_Drivers!D178*Finance_Assumptions!$B$6</f>
        <v>79000</v>
      </c>
      <c r="I178" s="19">
        <f>Cost_Drivers!E178*Finance_Assumptions!$B$7</f>
        <v>27360</v>
      </c>
      <c r="J178" s="19">
        <f t="shared" si="27"/>
        <v>361260</v>
      </c>
      <c r="K178" s="19">
        <f t="shared" si="20"/>
        <v>84979.64664208825</v>
      </c>
      <c r="L178" s="24">
        <f t="shared" si="21"/>
        <v>8.250548756635667E-4</v>
      </c>
      <c r="M178" s="20">
        <f t="shared" si="28"/>
        <v>33002.195026542671</v>
      </c>
      <c r="N178" s="7">
        <f>Cost_Drivers!B178+Cost_Drivers!C178+Cost_Drivers!E178</f>
        <v>349</v>
      </c>
      <c r="P178" s="7">
        <f t="shared" si="22"/>
        <v>1.2994362903886395E-3</v>
      </c>
      <c r="Q178" s="20">
        <f t="shared" si="29"/>
        <v>51977.451615545579</v>
      </c>
      <c r="R178" s="19">
        <f t="shared" si="23"/>
        <v>87104.753357911773</v>
      </c>
      <c r="S178" s="22">
        <f t="shared" si="24"/>
        <v>0.16331802369709286</v>
      </c>
      <c r="T178" s="21">
        <f t="shared" si="25"/>
        <v>0.67734844501976577</v>
      </c>
    </row>
    <row r="179" spans="1:20" x14ac:dyDescent="0.3">
      <c r="A179" s="7" t="s">
        <v>185</v>
      </c>
      <c r="B179" s="7" t="s">
        <v>258</v>
      </c>
      <c r="C179" s="19">
        <v>273394</v>
      </c>
      <c r="D179" s="15">
        <v>0.06</v>
      </c>
      <c r="E179" s="18">
        <f t="shared" si="26"/>
        <v>256990.36</v>
      </c>
      <c r="F179" s="19">
        <f>Cost_Drivers!B179*Finance_Assumptions!$B$4</f>
        <v>12600</v>
      </c>
      <c r="G179" s="19">
        <f>Cost_Drivers!C179*Finance_Assumptions!$B$5</f>
        <v>142400</v>
      </c>
      <c r="H179" s="19">
        <f>Cost_Drivers!D179*Finance_Assumptions!$B$6</f>
        <v>5500</v>
      </c>
      <c r="I179" s="19">
        <f>Cost_Drivers!E179*Finance_Assumptions!$B$7</f>
        <v>17460</v>
      </c>
      <c r="J179" s="19">
        <f t="shared" si="27"/>
        <v>177960</v>
      </c>
      <c r="K179" s="19">
        <f t="shared" si="20"/>
        <v>46284.241575395034</v>
      </c>
      <c r="L179" s="24">
        <f t="shared" si="21"/>
        <v>3.9755015617776287E-4</v>
      </c>
      <c r="M179" s="20">
        <f t="shared" si="28"/>
        <v>15902.006247110516</v>
      </c>
      <c r="N179" s="7">
        <f>Cost_Drivers!B179+Cost_Drivers!C179+Cost_Drivers!E179</f>
        <v>204</v>
      </c>
      <c r="P179" s="7">
        <f t="shared" si="22"/>
        <v>7.59555883207113E-4</v>
      </c>
      <c r="Q179" s="20">
        <f t="shared" si="29"/>
        <v>30382.235328284522</v>
      </c>
      <c r="R179" s="19">
        <f t="shared" si="23"/>
        <v>32746.118424604952</v>
      </c>
      <c r="S179" s="22">
        <f t="shared" si="24"/>
        <v>0.12742158275744256</v>
      </c>
      <c r="T179" s="21">
        <f t="shared" si="25"/>
        <v>0.69247733650398413</v>
      </c>
    </row>
    <row r="180" spans="1:20" x14ac:dyDescent="0.3">
      <c r="A180" s="7" t="s">
        <v>186</v>
      </c>
      <c r="B180" s="7" t="s">
        <v>259</v>
      </c>
      <c r="C180" s="19">
        <v>766091</v>
      </c>
      <c r="D180" s="15">
        <v>0.15</v>
      </c>
      <c r="E180" s="18">
        <f t="shared" si="26"/>
        <v>651177.35</v>
      </c>
      <c r="F180" s="19">
        <f>Cost_Drivers!B180*Finance_Assumptions!$B$4</f>
        <v>25900</v>
      </c>
      <c r="G180" s="19">
        <f>Cost_Drivers!C180*Finance_Assumptions!$B$5</f>
        <v>392000</v>
      </c>
      <c r="H180" s="19">
        <f>Cost_Drivers!D180*Finance_Assumptions!$B$6</f>
        <v>22500</v>
      </c>
      <c r="I180" s="19">
        <f>Cost_Drivers!E180*Finance_Assumptions!$B$7</f>
        <v>56160</v>
      </c>
      <c r="J180" s="19">
        <f t="shared" si="27"/>
        <v>496560</v>
      </c>
      <c r="K180" s="19">
        <f t="shared" si="20"/>
        <v>128759.36299121799</v>
      </c>
      <c r="L180" s="24">
        <f t="shared" si="21"/>
        <v>1.0073360619126794E-3</v>
      </c>
      <c r="M180" s="20">
        <f t="shared" si="28"/>
        <v>40293.442476507174</v>
      </c>
      <c r="N180" s="7">
        <f>Cost_Drivers!B180+Cost_Drivers!C180+Cost_Drivers!E180</f>
        <v>594</v>
      </c>
      <c r="P180" s="7">
        <f t="shared" si="22"/>
        <v>2.2116480128677703E-3</v>
      </c>
      <c r="Q180" s="20">
        <f t="shared" si="29"/>
        <v>88465.920514710815</v>
      </c>
      <c r="R180" s="19">
        <f t="shared" si="23"/>
        <v>25857.987008781987</v>
      </c>
      <c r="S180" s="22">
        <f t="shared" si="24"/>
        <v>3.9709592185265638E-2</v>
      </c>
      <c r="T180" s="21">
        <f t="shared" si="25"/>
        <v>0.7625572357515199</v>
      </c>
    </row>
    <row r="181" spans="1:20" x14ac:dyDescent="0.3">
      <c r="A181" s="7" t="s">
        <v>187</v>
      </c>
      <c r="B181" s="7" t="s">
        <v>259</v>
      </c>
      <c r="C181" s="19">
        <v>2254987</v>
      </c>
      <c r="D181" s="15">
        <v>0.01</v>
      </c>
      <c r="E181" s="18">
        <f t="shared" si="26"/>
        <v>2232437.13</v>
      </c>
      <c r="F181" s="19">
        <f>Cost_Drivers!B181*Finance_Assumptions!$B$4</f>
        <v>32200</v>
      </c>
      <c r="G181" s="19">
        <f>Cost_Drivers!C181*Finance_Assumptions!$B$5</f>
        <v>316800</v>
      </c>
      <c r="H181" s="19">
        <f>Cost_Drivers!D181*Finance_Assumptions!$B$6</f>
        <v>25500</v>
      </c>
      <c r="I181" s="19">
        <f>Cost_Drivers!E181*Finance_Assumptions!$B$7</f>
        <v>87660</v>
      </c>
      <c r="J181" s="19">
        <f t="shared" si="27"/>
        <v>462160</v>
      </c>
      <c r="K181" s="19">
        <f t="shared" si="20"/>
        <v>247008.04562577809</v>
      </c>
      <c r="L181" s="24">
        <f t="shared" si="21"/>
        <v>3.4534592258189637E-3</v>
      </c>
      <c r="M181" s="20">
        <f t="shared" si="28"/>
        <v>138138.36903275855</v>
      </c>
      <c r="N181" s="7">
        <f>Cost_Drivers!B181+Cost_Drivers!C181+Cost_Drivers!E181</f>
        <v>731</v>
      </c>
      <c r="P181" s="7">
        <f t="shared" si="22"/>
        <v>2.7217419148254881E-3</v>
      </c>
      <c r="Q181" s="20">
        <f t="shared" si="29"/>
        <v>108869.67659301953</v>
      </c>
      <c r="R181" s="19">
        <f t="shared" si="23"/>
        <v>1523269.0843742217</v>
      </c>
      <c r="S181" s="22">
        <f t="shared" si="24"/>
        <v>0.68233459473692848</v>
      </c>
      <c r="T181" s="21">
        <f t="shared" si="25"/>
        <v>0.20702038762453304</v>
      </c>
    </row>
    <row r="182" spans="1:20" x14ac:dyDescent="0.3">
      <c r="A182" s="7" t="s">
        <v>188</v>
      </c>
      <c r="B182" s="7" t="s">
        <v>258</v>
      </c>
      <c r="C182" s="19">
        <v>223626</v>
      </c>
      <c r="D182" s="15">
        <v>0.1</v>
      </c>
      <c r="E182" s="18">
        <f t="shared" si="26"/>
        <v>201263.4</v>
      </c>
      <c r="F182" s="19">
        <f>Cost_Drivers!B182*Finance_Assumptions!$B$4</f>
        <v>5600</v>
      </c>
      <c r="G182" s="19">
        <f>Cost_Drivers!C182*Finance_Assumptions!$B$5</f>
        <v>120000</v>
      </c>
      <c r="H182" s="19">
        <f>Cost_Drivers!D182*Finance_Assumptions!$B$6</f>
        <v>22250</v>
      </c>
      <c r="I182" s="19">
        <f>Cost_Drivers!E182*Finance_Assumptions!$B$7</f>
        <v>9900</v>
      </c>
      <c r="J182" s="19">
        <f t="shared" si="27"/>
        <v>157750</v>
      </c>
      <c r="K182" s="19">
        <f t="shared" si="20"/>
        <v>33006.43139896178</v>
      </c>
      <c r="L182" s="24">
        <f t="shared" si="21"/>
        <v>3.1134356986335036E-4</v>
      </c>
      <c r="M182" s="20">
        <f t="shared" si="28"/>
        <v>12453.742794534015</v>
      </c>
      <c r="N182" s="7">
        <f>Cost_Drivers!B182+Cost_Drivers!C182+Cost_Drivers!E182</f>
        <v>138</v>
      </c>
      <c r="P182" s="7">
        <f t="shared" si="22"/>
        <v>5.1381721511069409E-4</v>
      </c>
      <c r="Q182" s="20">
        <f t="shared" si="29"/>
        <v>20552.688604427763</v>
      </c>
      <c r="R182" s="19">
        <f t="shared" si="23"/>
        <v>10506.968601038214</v>
      </c>
      <c r="S182" s="22">
        <f t="shared" si="24"/>
        <v>5.2205063618314181E-2</v>
      </c>
      <c r="T182" s="21">
        <f t="shared" si="25"/>
        <v>0.78379874333833177</v>
      </c>
    </row>
    <row r="183" spans="1:20" x14ac:dyDescent="0.3">
      <c r="A183" s="7" t="s">
        <v>189</v>
      </c>
      <c r="B183" s="7" t="s">
        <v>260</v>
      </c>
      <c r="C183" s="19">
        <v>6262064</v>
      </c>
      <c r="D183" s="15">
        <v>0.28000000000000003</v>
      </c>
      <c r="E183" s="18">
        <f t="shared" si="26"/>
        <v>4508686.08</v>
      </c>
      <c r="F183" s="19">
        <f>Cost_Drivers!B183*Finance_Assumptions!$B$4</f>
        <v>100800</v>
      </c>
      <c r="G183" s="19">
        <f>Cost_Drivers!C183*Finance_Assumptions!$B$5</f>
        <v>393600</v>
      </c>
      <c r="H183" s="19">
        <f>Cost_Drivers!D183*Finance_Assumptions!$B$6</f>
        <v>319250</v>
      </c>
      <c r="I183" s="19">
        <f>Cost_Drivers!E183*Finance_Assumptions!$B$7</f>
        <v>594540</v>
      </c>
      <c r="J183" s="19">
        <f t="shared" si="27"/>
        <v>1408190</v>
      </c>
      <c r="K183" s="19">
        <f t="shared" si="20"/>
        <v>828995.53744799667</v>
      </c>
      <c r="L183" s="24">
        <f t="shared" si="21"/>
        <v>6.9746929622593844E-3</v>
      </c>
      <c r="M183" s="20">
        <f t="shared" si="28"/>
        <v>278987.71849037538</v>
      </c>
      <c r="N183" s="7">
        <f>Cost_Drivers!B183+Cost_Drivers!C183+Cost_Drivers!E183</f>
        <v>3693</v>
      </c>
      <c r="P183" s="7">
        <f t="shared" si="22"/>
        <v>1.3750195473940531E-2</v>
      </c>
      <c r="Q183" s="20">
        <f t="shared" si="29"/>
        <v>550007.81895762123</v>
      </c>
      <c r="R183" s="19">
        <f t="shared" si="23"/>
        <v>2271500.5425520036</v>
      </c>
      <c r="S183" s="22">
        <f t="shared" si="24"/>
        <v>0.503805432946</v>
      </c>
      <c r="T183" s="21">
        <f t="shared" si="25"/>
        <v>0.31232824264402992</v>
      </c>
    </row>
    <row r="184" spans="1:20" x14ac:dyDescent="0.3">
      <c r="A184" s="7" t="s">
        <v>190</v>
      </c>
      <c r="B184" s="7" t="s">
        <v>258</v>
      </c>
      <c r="C184" s="19">
        <v>511810</v>
      </c>
      <c r="D184" s="15">
        <v>0.05</v>
      </c>
      <c r="E184" s="18">
        <f t="shared" si="26"/>
        <v>486219.5</v>
      </c>
      <c r="F184" s="19">
        <f>Cost_Drivers!B184*Finance_Assumptions!$B$4</f>
        <v>15400</v>
      </c>
      <c r="G184" s="19">
        <f>Cost_Drivers!C184*Finance_Assumptions!$B$5</f>
        <v>174400</v>
      </c>
      <c r="H184" s="19">
        <f>Cost_Drivers!D184*Finance_Assumptions!$B$6</f>
        <v>21000</v>
      </c>
      <c r="I184" s="19">
        <f>Cost_Drivers!E184*Finance_Assumptions!$B$7</f>
        <v>16920</v>
      </c>
      <c r="J184" s="19">
        <f t="shared" si="27"/>
        <v>227720</v>
      </c>
      <c r="K184" s="19">
        <f t="shared" si="20"/>
        <v>63596.026771787823</v>
      </c>
      <c r="L184" s="24">
        <f t="shared" si="21"/>
        <v>7.5215520987508553E-4</v>
      </c>
      <c r="M184" s="20">
        <f t="shared" si="28"/>
        <v>30086.208395003421</v>
      </c>
      <c r="N184" s="7">
        <f>Cost_Drivers!B184+Cost_Drivers!C184+Cost_Drivers!E184</f>
        <v>225</v>
      </c>
      <c r="P184" s="7">
        <f t="shared" si="22"/>
        <v>8.3774545941960998E-4</v>
      </c>
      <c r="Q184" s="20">
        <f t="shared" si="29"/>
        <v>33509.818376784402</v>
      </c>
      <c r="R184" s="19">
        <f t="shared" si="23"/>
        <v>194903.47322821218</v>
      </c>
      <c r="S184" s="22">
        <f t="shared" si="24"/>
        <v>0.40085490859213213</v>
      </c>
      <c r="T184" s="21">
        <f t="shared" si="25"/>
        <v>0.46834814317401913</v>
      </c>
    </row>
    <row r="185" spans="1:20" x14ac:dyDescent="0.3">
      <c r="A185" s="7" t="s">
        <v>191</v>
      </c>
      <c r="B185" s="7" t="s">
        <v>260</v>
      </c>
      <c r="C185" s="19">
        <v>12743180</v>
      </c>
      <c r="D185" s="15">
        <v>0.28000000000000003</v>
      </c>
      <c r="E185" s="18">
        <f t="shared" si="26"/>
        <v>9175089.5999999996</v>
      </c>
      <c r="F185" s="19">
        <f>Cost_Drivers!B185*Finance_Assumptions!$B$4</f>
        <v>154700</v>
      </c>
      <c r="G185" s="19">
        <f>Cost_Drivers!C185*Finance_Assumptions!$B$5</f>
        <v>369600</v>
      </c>
      <c r="H185" s="19">
        <f>Cost_Drivers!D185*Finance_Assumptions!$B$6</f>
        <v>290750</v>
      </c>
      <c r="I185" s="19">
        <f>Cost_Drivers!E185*Finance_Assumptions!$B$7</f>
        <v>622800</v>
      </c>
      <c r="J185" s="19">
        <f t="shared" si="27"/>
        <v>1437850</v>
      </c>
      <c r="K185" s="19">
        <f t="shared" si="20"/>
        <v>1150358.6923684562</v>
      </c>
      <c r="L185" s="24">
        <f t="shared" si="21"/>
        <v>1.419336625476912E-2</v>
      </c>
      <c r="M185" s="20">
        <f t="shared" si="28"/>
        <v>567734.65019076481</v>
      </c>
      <c r="N185" s="7">
        <f>Cost_Drivers!B185+Cost_Drivers!C185+Cost_Drivers!E185</f>
        <v>3912</v>
      </c>
      <c r="P185" s="7">
        <f t="shared" si="22"/>
        <v>1.4565601054442285E-2</v>
      </c>
      <c r="Q185" s="20">
        <f t="shared" si="29"/>
        <v>582624.04217769136</v>
      </c>
      <c r="R185" s="19">
        <f t="shared" si="23"/>
        <v>6586880.9076315435</v>
      </c>
      <c r="S185" s="22">
        <f t="shared" si="24"/>
        <v>0.7179091643564488</v>
      </c>
      <c r="T185" s="21">
        <f t="shared" si="25"/>
        <v>0.15671236605689387</v>
      </c>
    </row>
    <row r="186" spans="1:20" x14ac:dyDescent="0.3">
      <c r="A186" s="7" t="s">
        <v>192</v>
      </c>
      <c r="B186" s="7" t="s">
        <v>260</v>
      </c>
      <c r="C186" s="19">
        <v>5150124</v>
      </c>
      <c r="D186" s="15">
        <v>0.13</v>
      </c>
      <c r="E186" s="18">
        <f t="shared" si="26"/>
        <v>4480607.88</v>
      </c>
      <c r="F186" s="19">
        <f>Cost_Drivers!B186*Finance_Assumptions!$B$4</f>
        <v>40600</v>
      </c>
      <c r="G186" s="19">
        <f>Cost_Drivers!C186*Finance_Assumptions!$B$5</f>
        <v>361600</v>
      </c>
      <c r="H186" s="19">
        <f>Cost_Drivers!D186*Finance_Assumptions!$B$6</f>
        <v>388000</v>
      </c>
      <c r="I186" s="19">
        <f>Cost_Drivers!E186*Finance_Assumptions!$B$7</f>
        <v>128700</v>
      </c>
      <c r="J186" s="19">
        <f t="shared" si="27"/>
        <v>918900</v>
      </c>
      <c r="K186" s="19">
        <f t="shared" si="20"/>
        <v>426033.89394898515</v>
      </c>
      <c r="L186" s="24">
        <f t="shared" si="21"/>
        <v>6.9312575089015603E-3</v>
      </c>
      <c r="M186" s="20">
        <f t="shared" si="28"/>
        <v>277250.30035606242</v>
      </c>
      <c r="N186" s="7">
        <f>Cost_Drivers!B186+Cost_Drivers!C186+Cost_Drivers!E186</f>
        <v>999</v>
      </c>
      <c r="P186" s="7">
        <f t="shared" si="22"/>
        <v>3.719589839823068E-3</v>
      </c>
      <c r="Q186" s="20">
        <f t="shared" si="29"/>
        <v>148783.59359292273</v>
      </c>
      <c r="R186" s="19">
        <f t="shared" si="23"/>
        <v>3135673.9860510146</v>
      </c>
      <c r="S186" s="22">
        <f t="shared" si="24"/>
        <v>0.69983227053803576</v>
      </c>
      <c r="T186" s="21">
        <f t="shared" si="25"/>
        <v>0.20508377983748044</v>
      </c>
    </row>
    <row r="187" spans="1:20" x14ac:dyDescent="0.3">
      <c r="A187" s="7" t="s">
        <v>193</v>
      </c>
      <c r="B187" s="7" t="s">
        <v>258</v>
      </c>
      <c r="C187" s="19">
        <v>596214</v>
      </c>
      <c r="D187" s="15">
        <v>0.08</v>
      </c>
      <c r="E187" s="18">
        <f t="shared" si="26"/>
        <v>548516.88</v>
      </c>
      <c r="F187" s="19">
        <f>Cost_Drivers!B187*Finance_Assumptions!$B$4</f>
        <v>21700</v>
      </c>
      <c r="G187" s="19">
        <f>Cost_Drivers!C187*Finance_Assumptions!$B$5</f>
        <v>129600</v>
      </c>
      <c r="H187" s="19">
        <f>Cost_Drivers!D187*Finance_Assumptions!$B$6</f>
        <v>24000</v>
      </c>
      <c r="I187" s="19">
        <f>Cost_Drivers!E187*Finance_Assumptions!$B$7</f>
        <v>7380</v>
      </c>
      <c r="J187" s="19">
        <f t="shared" si="27"/>
        <v>182680</v>
      </c>
      <c r="K187" s="19">
        <f t="shared" si="20"/>
        <v>56727.711686815761</v>
      </c>
      <c r="L187" s="24">
        <f t="shared" si="21"/>
        <v>8.4852587976505902E-4</v>
      </c>
      <c r="M187" s="20">
        <f t="shared" si="28"/>
        <v>33941.035190602364</v>
      </c>
      <c r="N187" s="7">
        <f>Cost_Drivers!B187+Cost_Drivers!C187+Cost_Drivers!E187</f>
        <v>153</v>
      </c>
      <c r="P187" s="7">
        <f t="shared" si="22"/>
        <v>5.696669124053348E-4</v>
      </c>
      <c r="Q187" s="20">
        <f t="shared" si="29"/>
        <v>22786.676496213393</v>
      </c>
      <c r="R187" s="19">
        <f t="shared" si="23"/>
        <v>309109.16831318423</v>
      </c>
      <c r="S187" s="22">
        <f t="shared" si="24"/>
        <v>0.56353629137754924</v>
      </c>
      <c r="T187" s="21">
        <f t="shared" si="25"/>
        <v>0.33304353368304729</v>
      </c>
    </row>
    <row r="188" spans="1:20" x14ac:dyDescent="0.3">
      <c r="A188" s="7" t="s">
        <v>194</v>
      </c>
      <c r="B188" s="7" t="s">
        <v>258</v>
      </c>
      <c r="C188" s="19">
        <v>363045</v>
      </c>
      <c r="D188" s="15">
        <v>0.05</v>
      </c>
      <c r="E188" s="18">
        <f t="shared" si="26"/>
        <v>344892.75</v>
      </c>
      <c r="F188" s="19">
        <f>Cost_Drivers!B188*Finance_Assumptions!$B$4</f>
        <v>11200</v>
      </c>
      <c r="G188" s="19">
        <f>Cost_Drivers!C188*Finance_Assumptions!$B$5</f>
        <v>153600</v>
      </c>
      <c r="H188" s="19">
        <f>Cost_Drivers!D188*Finance_Assumptions!$B$6</f>
        <v>14750</v>
      </c>
      <c r="I188" s="19">
        <f>Cost_Drivers!E188*Finance_Assumptions!$B$7</f>
        <v>6480</v>
      </c>
      <c r="J188" s="19">
        <f t="shared" si="27"/>
        <v>186030</v>
      </c>
      <c r="K188" s="19">
        <f t="shared" si="20"/>
        <v>43383.229408034342</v>
      </c>
      <c r="L188" s="24">
        <f t="shared" si="21"/>
        <v>5.3353038856040406E-4</v>
      </c>
      <c r="M188" s="20">
        <f t="shared" si="28"/>
        <v>21341.215542416161</v>
      </c>
      <c r="N188" s="7">
        <f>Cost_Drivers!B188+Cost_Drivers!C188+Cost_Drivers!E188</f>
        <v>148</v>
      </c>
      <c r="P188" s="7">
        <f t="shared" si="22"/>
        <v>5.5105034664045449E-4</v>
      </c>
      <c r="Q188" s="20">
        <f t="shared" si="29"/>
        <v>22042.013865618181</v>
      </c>
      <c r="R188" s="19">
        <f t="shared" si="23"/>
        <v>115479.52059196566</v>
      </c>
      <c r="S188" s="22">
        <f t="shared" si="24"/>
        <v>0.33482733572093254</v>
      </c>
      <c r="T188" s="21">
        <f t="shared" si="25"/>
        <v>0.53938506970645217</v>
      </c>
    </row>
    <row r="189" spans="1:20" x14ac:dyDescent="0.3">
      <c r="A189" s="7" t="s">
        <v>195</v>
      </c>
      <c r="B189" s="7" t="s">
        <v>258</v>
      </c>
      <c r="C189" s="19">
        <v>168147</v>
      </c>
      <c r="D189" s="15">
        <v>0.05</v>
      </c>
      <c r="E189" s="18">
        <f t="shared" si="26"/>
        <v>159739.65</v>
      </c>
      <c r="F189" s="19">
        <f>Cost_Drivers!B189*Finance_Assumptions!$B$4</f>
        <v>22400</v>
      </c>
      <c r="G189" s="19">
        <f>Cost_Drivers!C189*Finance_Assumptions!$B$5</f>
        <v>86400</v>
      </c>
      <c r="H189" s="19">
        <f>Cost_Drivers!D189*Finance_Assumptions!$B$6</f>
        <v>10250</v>
      </c>
      <c r="I189" s="19">
        <f>Cost_Drivers!E189*Finance_Assumptions!$B$7</f>
        <v>15120</v>
      </c>
      <c r="J189" s="19">
        <f t="shared" si="27"/>
        <v>134170</v>
      </c>
      <c r="K189" s="19">
        <f t="shared" si="20"/>
        <v>35202.872620312992</v>
      </c>
      <c r="L189" s="24">
        <f t="shared" si="21"/>
        <v>2.4710857950189721E-4</v>
      </c>
      <c r="M189" s="20">
        <f t="shared" si="28"/>
        <v>9884.3431800758881</v>
      </c>
      <c r="N189" s="7">
        <f>Cost_Drivers!B189+Cost_Drivers!C189+Cost_Drivers!E189</f>
        <v>170</v>
      </c>
      <c r="P189" s="7">
        <f t="shared" si="22"/>
        <v>6.3296323600592753E-4</v>
      </c>
      <c r="Q189" s="20">
        <f t="shared" si="29"/>
        <v>25318.5294402371</v>
      </c>
      <c r="R189" s="19">
        <f t="shared" si="23"/>
        <v>-9633.2226203129976</v>
      </c>
      <c r="S189" s="22">
        <f t="shared" si="24"/>
        <v>-6.0305770172358573E-2</v>
      </c>
      <c r="T189" s="21">
        <f t="shared" si="25"/>
        <v>0.8399292223314625</v>
      </c>
    </row>
    <row r="190" spans="1:20" x14ac:dyDescent="0.3">
      <c r="A190" s="7" t="s">
        <v>196</v>
      </c>
      <c r="B190" s="7" t="s">
        <v>259</v>
      </c>
      <c r="C190" s="19">
        <v>2240615</v>
      </c>
      <c r="D190" s="15">
        <v>0.03</v>
      </c>
      <c r="E190" s="18">
        <f t="shared" si="26"/>
        <v>2173396.5499999998</v>
      </c>
      <c r="F190" s="19">
        <f>Cost_Drivers!B190*Finance_Assumptions!$B$4</f>
        <v>48300</v>
      </c>
      <c r="G190" s="19">
        <f>Cost_Drivers!C190*Finance_Assumptions!$B$5</f>
        <v>280000</v>
      </c>
      <c r="H190" s="19">
        <f>Cost_Drivers!D190*Finance_Assumptions!$B$6</f>
        <v>96500</v>
      </c>
      <c r="I190" s="19">
        <f>Cost_Drivers!E190*Finance_Assumptions!$B$7</f>
        <v>50040</v>
      </c>
      <c r="J190" s="19">
        <f t="shared" si="27"/>
        <v>474840</v>
      </c>
      <c r="K190" s="19">
        <f t="shared" si="20"/>
        <v>212227.84459361175</v>
      </c>
      <c r="L190" s="24">
        <f t="shared" si="21"/>
        <v>3.3621266489867988E-3</v>
      </c>
      <c r="M190" s="20">
        <f t="shared" si="28"/>
        <v>134485.06595947195</v>
      </c>
      <c r="N190" s="7">
        <f>Cost_Drivers!B190+Cost_Drivers!C190+Cost_Drivers!E190</f>
        <v>522</v>
      </c>
      <c r="P190" s="7">
        <f t="shared" si="22"/>
        <v>1.9435694658534951E-3</v>
      </c>
      <c r="Q190" s="20">
        <f t="shared" si="29"/>
        <v>77742.778634139802</v>
      </c>
      <c r="R190" s="19">
        <f t="shared" si="23"/>
        <v>1486328.705406388</v>
      </c>
      <c r="S190" s="22">
        <f t="shared" si="24"/>
        <v>0.68387368398389525</v>
      </c>
      <c r="T190" s="21">
        <f t="shared" si="25"/>
        <v>0.21847830760566914</v>
      </c>
    </row>
    <row r="191" spans="1:20" x14ac:dyDescent="0.3">
      <c r="A191" s="7" t="s">
        <v>197</v>
      </c>
      <c r="B191" s="7" t="s">
        <v>258</v>
      </c>
      <c r="C191" s="19">
        <v>323913</v>
      </c>
      <c r="D191" s="15">
        <v>0.05</v>
      </c>
      <c r="E191" s="18">
        <f t="shared" si="26"/>
        <v>307717.34999999998</v>
      </c>
      <c r="F191" s="19">
        <f>Cost_Drivers!B191*Finance_Assumptions!$B$4</f>
        <v>10500</v>
      </c>
      <c r="G191" s="19">
        <f>Cost_Drivers!C191*Finance_Assumptions!$B$5</f>
        <v>48000</v>
      </c>
      <c r="H191" s="19">
        <f>Cost_Drivers!D191*Finance_Assumptions!$B$6</f>
        <v>20500</v>
      </c>
      <c r="I191" s="19">
        <f>Cost_Drivers!E191*Finance_Assumptions!$B$7</f>
        <v>4860</v>
      </c>
      <c r="J191" s="19">
        <f t="shared" si="27"/>
        <v>83860</v>
      </c>
      <c r="K191" s="19">
        <f t="shared" si="20"/>
        <v>29764.024278044177</v>
      </c>
      <c r="L191" s="24">
        <f t="shared" si="21"/>
        <v>4.760220599368292E-4</v>
      </c>
      <c r="M191" s="20">
        <f t="shared" si="28"/>
        <v>19040.882397473168</v>
      </c>
      <c r="N191" s="7">
        <f>Cost_Drivers!B191+Cost_Drivers!C191+Cost_Drivers!E191</f>
        <v>72</v>
      </c>
      <c r="P191" s="7">
        <f t="shared" si="22"/>
        <v>2.6807854701427518E-4</v>
      </c>
      <c r="Q191" s="20">
        <f t="shared" si="29"/>
        <v>10723.141880571007</v>
      </c>
      <c r="R191" s="19">
        <f t="shared" si="23"/>
        <v>194093.3257219558</v>
      </c>
      <c r="S191" s="22">
        <f t="shared" si="24"/>
        <v>0.63075197327013188</v>
      </c>
      <c r="T191" s="21">
        <f t="shared" si="25"/>
        <v>0.27252282004898326</v>
      </c>
    </row>
    <row r="192" spans="1:20" x14ac:dyDescent="0.3">
      <c r="A192" s="7" t="s">
        <v>198</v>
      </c>
      <c r="B192" s="7" t="s">
        <v>259</v>
      </c>
      <c r="C192" s="19">
        <v>1250439</v>
      </c>
      <c r="D192" s="15">
        <v>0.19</v>
      </c>
      <c r="E192" s="18">
        <f t="shared" si="26"/>
        <v>1012855.5900000001</v>
      </c>
      <c r="F192" s="19">
        <f>Cost_Drivers!B192*Finance_Assumptions!$B$4</f>
        <v>19600</v>
      </c>
      <c r="G192" s="19">
        <f>Cost_Drivers!C192*Finance_Assumptions!$B$5</f>
        <v>168000</v>
      </c>
      <c r="H192" s="19">
        <f>Cost_Drivers!D192*Finance_Assumptions!$B$6</f>
        <v>75000</v>
      </c>
      <c r="I192" s="19">
        <f>Cost_Drivers!E192*Finance_Assumptions!$B$7</f>
        <v>82800</v>
      </c>
      <c r="J192" s="19">
        <f t="shared" si="27"/>
        <v>345400</v>
      </c>
      <c r="K192" s="19">
        <f t="shared" si="20"/>
        <v>150990.29573290097</v>
      </c>
      <c r="L192" s="24">
        <f t="shared" si="21"/>
        <v>1.5668326936077301E-3</v>
      </c>
      <c r="M192" s="20">
        <f t="shared" si="28"/>
        <v>62673.307744309204</v>
      </c>
      <c r="N192" s="7">
        <f>Cost_Drivers!B192+Cost_Drivers!C192+Cost_Drivers!E192</f>
        <v>593</v>
      </c>
      <c r="P192" s="7">
        <f t="shared" si="22"/>
        <v>2.2079246997147943E-3</v>
      </c>
      <c r="Q192" s="20">
        <f t="shared" si="29"/>
        <v>88316.987988591776</v>
      </c>
      <c r="R192" s="19">
        <f t="shared" si="23"/>
        <v>516465.29426709912</v>
      </c>
      <c r="S192" s="22">
        <f t="shared" si="24"/>
        <v>0.50991009909625817</v>
      </c>
      <c r="T192" s="21">
        <f t="shared" si="25"/>
        <v>0.34101603763671778</v>
      </c>
    </row>
    <row r="193" spans="1:20" x14ac:dyDescent="0.3">
      <c r="A193" s="7" t="s">
        <v>199</v>
      </c>
      <c r="B193" s="7" t="s">
        <v>259</v>
      </c>
      <c r="C193" s="19">
        <v>1009221</v>
      </c>
      <c r="D193" s="15">
        <v>0.06</v>
      </c>
      <c r="E193" s="18">
        <f t="shared" si="26"/>
        <v>948667.74</v>
      </c>
      <c r="F193" s="19">
        <f>Cost_Drivers!B193*Finance_Assumptions!$B$4</f>
        <v>51800</v>
      </c>
      <c r="G193" s="19">
        <f>Cost_Drivers!C193*Finance_Assumptions!$B$5</f>
        <v>233600</v>
      </c>
      <c r="H193" s="19">
        <f>Cost_Drivers!D193*Finance_Assumptions!$B$6</f>
        <v>33250</v>
      </c>
      <c r="I193" s="19">
        <f>Cost_Drivers!E193*Finance_Assumptions!$B$7</f>
        <v>91980</v>
      </c>
      <c r="J193" s="19">
        <f t="shared" si="27"/>
        <v>410630</v>
      </c>
      <c r="K193" s="19">
        <f t="shared" si="20"/>
        <v>167571.17935721742</v>
      </c>
      <c r="L193" s="24">
        <f t="shared" si="21"/>
        <v>1.4675375691049475E-3</v>
      </c>
      <c r="M193" s="20">
        <f t="shared" si="28"/>
        <v>58701.502764197903</v>
      </c>
      <c r="N193" s="7">
        <f>Cost_Drivers!B193+Cost_Drivers!C193+Cost_Drivers!E193</f>
        <v>731</v>
      </c>
      <c r="P193" s="7">
        <f t="shared" si="22"/>
        <v>2.7217419148254881E-3</v>
      </c>
      <c r="Q193" s="20">
        <f t="shared" si="29"/>
        <v>108869.67659301953</v>
      </c>
      <c r="R193" s="19">
        <f t="shared" si="23"/>
        <v>370466.5606427826</v>
      </c>
      <c r="S193" s="22">
        <f t="shared" si="24"/>
        <v>0.39051244711112726</v>
      </c>
      <c r="T193" s="21">
        <f t="shared" si="25"/>
        <v>0.4328491237617082</v>
      </c>
    </row>
    <row r="194" spans="1:20" x14ac:dyDescent="0.3">
      <c r="A194" s="7" t="s">
        <v>200</v>
      </c>
      <c r="B194" s="7" t="s">
        <v>258</v>
      </c>
      <c r="C194" s="19">
        <v>538460</v>
      </c>
      <c r="D194" s="15">
        <v>0.02</v>
      </c>
      <c r="E194" s="18">
        <f t="shared" si="26"/>
        <v>527690.80000000005</v>
      </c>
      <c r="F194" s="19">
        <f>Cost_Drivers!B194*Finance_Assumptions!$B$4</f>
        <v>16800</v>
      </c>
      <c r="G194" s="19">
        <f>Cost_Drivers!C194*Finance_Assumptions!$B$5</f>
        <v>140800</v>
      </c>
      <c r="H194" s="19">
        <f>Cost_Drivers!D194*Finance_Assumptions!$B$6</f>
        <v>22500</v>
      </c>
      <c r="I194" s="19">
        <f>Cost_Drivers!E194*Finance_Assumptions!$B$7</f>
        <v>13680</v>
      </c>
      <c r="J194" s="19">
        <f t="shared" si="27"/>
        <v>193780</v>
      </c>
      <c r="K194" s="19">
        <f t="shared" ref="K194:K251" si="30">M194+Q194</f>
        <v>60651.677427568226</v>
      </c>
      <c r="L194" s="24">
        <f t="shared" ref="L194:L251" si="31">E194/$W$2</f>
        <v>8.1630906292970938E-4</v>
      </c>
      <c r="M194" s="20">
        <f t="shared" si="28"/>
        <v>32652.362517188376</v>
      </c>
      <c r="N194" s="7">
        <f>Cost_Drivers!B194+Cost_Drivers!C194+Cost_Drivers!E194</f>
        <v>188</v>
      </c>
      <c r="P194" s="7">
        <f t="shared" ref="P194:P251" si="32">N194/$O$2</f>
        <v>6.9998287275949633E-4</v>
      </c>
      <c r="Q194" s="20">
        <f t="shared" si="29"/>
        <v>27999.314910379853</v>
      </c>
      <c r="R194" s="19">
        <f t="shared" ref="R194:R251" si="33">E194-J194-K194</f>
        <v>273259.12257243181</v>
      </c>
      <c r="S194" s="22">
        <f t="shared" ref="S194:S251" si="34">R194/E194</f>
        <v>0.51783946692349347</v>
      </c>
      <c r="T194" s="21">
        <f t="shared" ref="T194:T251" si="35">J194/E194</f>
        <v>0.36722262355151913</v>
      </c>
    </row>
    <row r="195" spans="1:20" x14ac:dyDescent="0.3">
      <c r="A195" s="7" t="s">
        <v>201</v>
      </c>
      <c r="B195" s="7" t="s">
        <v>259</v>
      </c>
      <c r="C195" s="19">
        <v>636727</v>
      </c>
      <c r="D195" s="15">
        <v>0.16</v>
      </c>
      <c r="E195" s="18">
        <f t="shared" ref="E195:E251" si="36">C195*(1-D195)</f>
        <v>534850.67999999993</v>
      </c>
      <c r="F195" s="19">
        <f>Cost_Drivers!B195*Finance_Assumptions!$B$4</f>
        <v>15400</v>
      </c>
      <c r="G195" s="19">
        <f>Cost_Drivers!C195*Finance_Assumptions!$B$5</f>
        <v>268800</v>
      </c>
      <c r="H195" s="19">
        <f>Cost_Drivers!D195*Finance_Assumptions!$B$6</f>
        <v>54250</v>
      </c>
      <c r="I195" s="19">
        <f>Cost_Drivers!E195*Finance_Assumptions!$B$7</f>
        <v>73080</v>
      </c>
      <c r="J195" s="19">
        <f t="shared" ref="J195:J251" si="37">F195+G195+H195+I195</f>
        <v>411530</v>
      </c>
      <c r="K195" s="19">
        <f t="shared" si="30"/>
        <v>121859.18593383933</v>
      </c>
      <c r="L195" s="24">
        <f t="shared" si="31"/>
        <v>8.2738500917226108E-4</v>
      </c>
      <c r="M195" s="20">
        <f t="shared" ref="M195:M251" si="38">L195*40000000</f>
        <v>33095.400366890441</v>
      </c>
      <c r="N195" s="7">
        <f>Cost_Drivers!B195+Cost_Drivers!C195+Cost_Drivers!E195</f>
        <v>596</v>
      </c>
      <c r="P195" s="7">
        <f t="shared" si="32"/>
        <v>2.2190946391737222E-3</v>
      </c>
      <c r="Q195" s="20">
        <f t="shared" ref="Q195:Q251" si="39">P195*40000000</f>
        <v>88763.785566948893</v>
      </c>
      <c r="R195" s="19">
        <f t="shared" si="33"/>
        <v>1461.4940661606088</v>
      </c>
      <c r="S195" s="22">
        <f t="shared" si="34"/>
        <v>2.7325272656671369E-3</v>
      </c>
      <c r="T195" s="21">
        <f t="shared" si="35"/>
        <v>0.76942970325848714</v>
      </c>
    </row>
    <row r="196" spans="1:20" x14ac:dyDescent="0.3">
      <c r="A196" s="7" t="s">
        <v>202</v>
      </c>
      <c r="B196" s="7" t="s">
        <v>258</v>
      </c>
      <c r="C196" s="19">
        <v>258172</v>
      </c>
      <c r="D196" s="15">
        <v>7.0000000000000007E-2</v>
      </c>
      <c r="E196" s="18">
        <f t="shared" si="36"/>
        <v>240099.96</v>
      </c>
      <c r="F196" s="19">
        <f>Cost_Drivers!B196*Finance_Assumptions!$B$4</f>
        <v>5600</v>
      </c>
      <c r="G196" s="19">
        <f>Cost_Drivers!C196*Finance_Assumptions!$B$5</f>
        <v>54400</v>
      </c>
      <c r="H196" s="19">
        <f>Cost_Drivers!D196*Finance_Assumptions!$B$6</f>
        <v>13250</v>
      </c>
      <c r="I196" s="19">
        <f>Cost_Drivers!E196*Finance_Assumptions!$B$7</f>
        <v>16380</v>
      </c>
      <c r="J196" s="19">
        <f t="shared" si="37"/>
        <v>89630</v>
      </c>
      <c r="K196" s="19">
        <f t="shared" si="30"/>
        <v>34664.89089223255</v>
      </c>
      <c r="L196" s="24">
        <f t="shared" si="31"/>
        <v>3.7142162295999981E-4</v>
      </c>
      <c r="M196" s="20">
        <f t="shared" si="38"/>
        <v>14856.864918399991</v>
      </c>
      <c r="N196" s="7">
        <f>Cost_Drivers!B196+Cost_Drivers!C196+Cost_Drivers!E196</f>
        <v>133</v>
      </c>
      <c r="P196" s="7">
        <f t="shared" si="32"/>
        <v>4.9520064934581388E-4</v>
      </c>
      <c r="Q196" s="20">
        <f t="shared" si="39"/>
        <v>19808.025973832555</v>
      </c>
      <c r="R196" s="19">
        <f t="shared" si="33"/>
        <v>115805.06910776744</v>
      </c>
      <c r="S196" s="22">
        <f t="shared" si="34"/>
        <v>0.48232023490452663</v>
      </c>
      <c r="T196" s="21">
        <f t="shared" si="35"/>
        <v>0.37330285269518582</v>
      </c>
    </row>
    <row r="197" spans="1:20" x14ac:dyDescent="0.3">
      <c r="A197" s="7" t="s">
        <v>203</v>
      </c>
      <c r="B197" s="7" t="s">
        <v>260</v>
      </c>
      <c r="C197" s="19">
        <v>9032723</v>
      </c>
      <c r="D197" s="15">
        <v>0.17</v>
      </c>
      <c r="E197" s="18">
        <f t="shared" si="36"/>
        <v>7497160.0899999999</v>
      </c>
      <c r="F197" s="19">
        <f>Cost_Drivers!B197*Finance_Assumptions!$B$4</f>
        <v>155400</v>
      </c>
      <c r="G197" s="19">
        <f>Cost_Drivers!C197*Finance_Assumptions!$B$5</f>
        <v>1840000</v>
      </c>
      <c r="H197" s="19">
        <f>Cost_Drivers!D197*Finance_Assumptions!$B$6</f>
        <v>287500</v>
      </c>
      <c r="I197" s="19">
        <f>Cost_Drivers!E197*Finance_Assumptions!$B$7</f>
        <v>554220</v>
      </c>
      <c r="J197" s="19">
        <f t="shared" si="37"/>
        <v>2837120</v>
      </c>
      <c r="K197" s="19">
        <f t="shared" si="30"/>
        <v>1126806.6841060005</v>
      </c>
      <c r="L197" s="24">
        <f t="shared" si="31"/>
        <v>1.1597700258753639E-2</v>
      </c>
      <c r="M197" s="20">
        <f t="shared" si="38"/>
        <v>463908.01035014557</v>
      </c>
      <c r="N197" s="7">
        <f>Cost_Drivers!B197+Cost_Drivers!C197+Cost_Drivers!E197</f>
        <v>4451</v>
      </c>
      <c r="P197" s="7">
        <f t="shared" si="32"/>
        <v>1.6572466843896374E-2</v>
      </c>
      <c r="Q197" s="20">
        <f t="shared" si="39"/>
        <v>662898.67375585495</v>
      </c>
      <c r="R197" s="19">
        <f t="shared" si="33"/>
        <v>3533233.4058939992</v>
      </c>
      <c r="S197" s="22">
        <f t="shared" si="34"/>
        <v>0.47127623839949229</v>
      </c>
      <c r="T197" s="21">
        <f t="shared" si="35"/>
        <v>0.37842595942218971</v>
      </c>
    </row>
    <row r="198" spans="1:20" x14ac:dyDescent="0.3">
      <c r="A198" s="7" t="s">
        <v>204</v>
      </c>
      <c r="B198" s="7" t="s">
        <v>260</v>
      </c>
      <c r="C198" s="19">
        <v>8120242</v>
      </c>
      <c r="D198" s="15">
        <v>0.14000000000000001</v>
      </c>
      <c r="E198" s="18">
        <f t="shared" si="36"/>
        <v>6983408.1200000001</v>
      </c>
      <c r="F198" s="19">
        <f>Cost_Drivers!B198*Finance_Assumptions!$B$4</f>
        <v>57400</v>
      </c>
      <c r="G198" s="19">
        <f>Cost_Drivers!C198*Finance_Assumptions!$B$5</f>
        <v>630400</v>
      </c>
      <c r="H198" s="19">
        <f>Cost_Drivers!D198*Finance_Assumptions!$B$6</f>
        <v>148250</v>
      </c>
      <c r="I198" s="19">
        <f>Cost_Drivers!E198*Finance_Assumptions!$B$7</f>
        <v>232380</v>
      </c>
      <c r="J198" s="19">
        <f t="shared" si="37"/>
        <v>1068430</v>
      </c>
      <c r="K198" s="19">
        <f t="shared" si="30"/>
        <v>695281.92606227496</v>
      </c>
      <c r="L198" s="24">
        <f t="shared" si="31"/>
        <v>1.0802953810248204E-2</v>
      </c>
      <c r="M198" s="20">
        <f t="shared" si="38"/>
        <v>432118.15240992815</v>
      </c>
      <c r="N198" s="7">
        <f>Cost_Drivers!B198+Cost_Drivers!C198+Cost_Drivers!E198</f>
        <v>1767</v>
      </c>
      <c r="P198" s="7">
        <f t="shared" si="32"/>
        <v>6.5790943413086703E-3</v>
      </c>
      <c r="Q198" s="20">
        <f t="shared" si="39"/>
        <v>263163.7736523468</v>
      </c>
      <c r="R198" s="19">
        <f t="shared" si="33"/>
        <v>5219696.1939377254</v>
      </c>
      <c r="S198" s="22">
        <f t="shared" si="34"/>
        <v>0.74744252437271641</v>
      </c>
      <c r="T198" s="21">
        <f t="shared" si="35"/>
        <v>0.15299549756229913</v>
      </c>
    </row>
    <row r="199" spans="1:20" x14ac:dyDescent="0.3">
      <c r="A199" s="7" t="s">
        <v>205</v>
      </c>
      <c r="B199" s="7" t="s">
        <v>258</v>
      </c>
      <c r="C199" s="19">
        <v>326807</v>
      </c>
      <c r="D199" s="15">
        <v>0.02</v>
      </c>
      <c r="E199" s="18">
        <f t="shared" si="36"/>
        <v>320270.86</v>
      </c>
      <c r="F199" s="19">
        <f>Cost_Drivers!B199*Finance_Assumptions!$B$4</f>
        <v>15400</v>
      </c>
      <c r="G199" s="19">
        <f>Cost_Drivers!C199*Finance_Assumptions!$B$5</f>
        <v>83200</v>
      </c>
      <c r="H199" s="19">
        <f>Cost_Drivers!D199*Finance_Assumptions!$B$6</f>
        <v>16000</v>
      </c>
      <c r="I199" s="19">
        <f>Cost_Drivers!E199*Finance_Assumptions!$B$7</f>
        <v>13860</v>
      </c>
      <c r="J199" s="19">
        <f t="shared" si="37"/>
        <v>128460</v>
      </c>
      <c r="K199" s="19">
        <f t="shared" si="30"/>
        <v>42306.477820595261</v>
      </c>
      <c r="L199" s="24">
        <f t="shared" si="31"/>
        <v>4.9544165941549877E-4</v>
      </c>
      <c r="M199" s="20">
        <f t="shared" si="38"/>
        <v>19817.666376619949</v>
      </c>
      <c r="N199" s="7">
        <f>Cost_Drivers!B199+Cost_Drivers!C199+Cost_Drivers!E199</f>
        <v>151</v>
      </c>
      <c r="P199" s="7">
        <f t="shared" si="32"/>
        <v>5.6222028609938268E-4</v>
      </c>
      <c r="Q199" s="20">
        <f t="shared" si="39"/>
        <v>22488.811443975308</v>
      </c>
      <c r="R199" s="19">
        <f t="shared" si="33"/>
        <v>149504.38217940473</v>
      </c>
      <c r="S199" s="22">
        <f t="shared" si="34"/>
        <v>0.46680607214594777</v>
      </c>
      <c r="T199" s="21">
        <f t="shared" si="35"/>
        <v>0.40109799561533638</v>
      </c>
    </row>
    <row r="200" spans="1:20" x14ac:dyDescent="0.3">
      <c r="A200" s="7" t="s">
        <v>206</v>
      </c>
      <c r="B200" s="7" t="s">
        <v>258</v>
      </c>
      <c r="C200" s="19">
        <v>163112</v>
      </c>
      <c r="D200" s="15">
        <v>0.1</v>
      </c>
      <c r="E200" s="18">
        <f t="shared" si="36"/>
        <v>146800.80000000002</v>
      </c>
      <c r="F200" s="19">
        <f>Cost_Drivers!B200*Finance_Assumptions!$B$4</f>
        <v>14000</v>
      </c>
      <c r="G200" s="19">
        <f>Cost_Drivers!C200*Finance_Assumptions!$B$5</f>
        <v>116800</v>
      </c>
      <c r="H200" s="19">
        <f>Cost_Drivers!D200*Finance_Assumptions!$B$6</f>
        <v>10000</v>
      </c>
      <c r="I200" s="19">
        <f>Cost_Drivers!E200*Finance_Assumptions!$B$7</f>
        <v>7200</v>
      </c>
      <c r="J200" s="19">
        <f t="shared" si="37"/>
        <v>148000</v>
      </c>
      <c r="K200" s="19">
        <f t="shared" si="30"/>
        <v>28891.741171090624</v>
      </c>
      <c r="L200" s="24">
        <f t="shared" si="31"/>
        <v>2.2709287993145168E-4</v>
      </c>
      <c r="M200" s="20">
        <f t="shared" si="38"/>
        <v>9083.7151972580668</v>
      </c>
      <c r="N200" s="7">
        <f>Cost_Drivers!B200+Cost_Drivers!C200+Cost_Drivers!E200</f>
        <v>133</v>
      </c>
      <c r="P200" s="7">
        <f t="shared" si="32"/>
        <v>4.9520064934581388E-4</v>
      </c>
      <c r="Q200" s="20">
        <f t="shared" si="39"/>
        <v>19808.025973832555</v>
      </c>
      <c r="R200" s="19">
        <f t="shared" si="33"/>
        <v>-30090.941171090606</v>
      </c>
      <c r="S200" s="22">
        <f t="shared" si="34"/>
        <v>-0.20497804624423438</v>
      </c>
      <c r="T200" s="21">
        <f t="shared" si="35"/>
        <v>1.0081688928125732</v>
      </c>
    </row>
    <row r="201" spans="1:20" x14ac:dyDescent="0.3">
      <c r="A201" s="7" t="s">
        <v>207</v>
      </c>
      <c r="B201" s="7" t="s">
        <v>260</v>
      </c>
      <c r="C201" s="19">
        <v>12647070</v>
      </c>
      <c r="D201" s="15">
        <v>0.28000000000000003</v>
      </c>
      <c r="E201" s="18">
        <f t="shared" si="36"/>
        <v>9105890.4000000004</v>
      </c>
      <c r="F201" s="19">
        <f>Cost_Drivers!B201*Finance_Assumptions!$B$4</f>
        <v>141400</v>
      </c>
      <c r="G201" s="19">
        <f>Cost_Drivers!C201*Finance_Assumptions!$B$5</f>
        <v>1760000</v>
      </c>
      <c r="H201" s="19">
        <f>Cost_Drivers!D201*Finance_Assumptions!$B$6</f>
        <v>108500</v>
      </c>
      <c r="I201" s="19">
        <f>Cost_Drivers!E201*Finance_Assumptions!$B$7</f>
        <v>159660</v>
      </c>
      <c r="J201" s="19">
        <f t="shared" si="37"/>
        <v>2169560</v>
      </c>
      <c r="K201" s="19">
        <f t="shared" si="30"/>
        <v>889466.05341329728</v>
      </c>
      <c r="L201" s="24">
        <f t="shared" si="31"/>
        <v>1.4086318843467872E-2</v>
      </c>
      <c r="M201" s="20">
        <f t="shared" si="38"/>
        <v>563452.75373871485</v>
      </c>
      <c r="N201" s="7">
        <f>Cost_Drivers!B201+Cost_Drivers!C201+Cost_Drivers!E201</f>
        <v>2189</v>
      </c>
      <c r="P201" s="7">
        <f t="shared" si="32"/>
        <v>8.1503324918645609E-3</v>
      </c>
      <c r="Q201" s="20">
        <f t="shared" si="39"/>
        <v>326013.29967458243</v>
      </c>
      <c r="R201" s="19">
        <f t="shared" si="33"/>
        <v>6046864.3465867033</v>
      </c>
      <c r="S201" s="22">
        <f t="shared" si="34"/>
        <v>0.6640607432071336</v>
      </c>
      <c r="T201" s="21">
        <f t="shared" si="35"/>
        <v>0.23825896257218293</v>
      </c>
    </row>
    <row r="202" spans="1:20" x14ac:dyDescent="0.3">
      <c r="A202" s="7" t="s">
        <v>208</v>
      </c>
      <c r="B202" s="7" t="s">
        <v>260</v>
      </c>
      <c r="C202" s="19">
        <v>7578959</v>
      </c>
      <c r="D202" s="15">
        <v>0.32</v>
      </c>
      <c r="E202" s="18">
        <f t="shared" si="36"/>
        <v>5153692.1199999992</v>
      </c>
      <c r="F202" s="19">
        <f>Cost_Drivers!B202*Finance_Assumptions!$B$4</f>
        <v>65800</v>
      </c>
      <c r="G202" s="19">
        <f>Cost_Drivers!C202*Finance_Assumptions!$B$5</f>
        <v>1548800</v>
      </c>
      <c r="H202" s="19">
        <f>Cost_Drivers!D202*Finance_Assumptions!$B$6</f>
        <v>397000</v>
      </c>
      <c r="I202" s="19">
        <f>Cost_Drivers!E202*Finance_Assumptions!$B$7</f>
        <v>558720</v>
      </c>
      <c r="J202" s="19">
        <f t="shared" si="37"/>
        <v>2570320</v>
      </c>
      <c r="K202" s="19">
        <f t="shared" si="30"/>
        <v>939352.19749720173</v>
      </c>
      <c r="L202" s="24">
        <f t="shared" si="31"/>
        <v>7.9724823421318432E-3</v>
      </c>
      <c r="M202" s="20">
        <f t="shared" si="38"/>
        <v>318899.29368527373</v>
      </c>
      <c r="N202" s="7">
        <f>Cost_Drivers!B202+Cost_Drivers!C202+Cost_Drivers!E202</f>
        <v>4166</v>
      </c>
      <c r="P202" s="7">
        <f t="shared" si="32"/>
        <v>1.5511322595298201E-2</v>
      </c>
      <c r="Q202" s="20">
        <f t="shared" si="39"/>
        <v>620452.903811928</v>
      </c>
      <c r="R202" s="19">
        <f t="shared" si="33"/>
        <v>1644019.9225027976</v>
      </c>
      <c r="S202" s="22">
        <f t="shared" si="34"/>
        <v>0.31899847414687976</v>
      </c>
      <c r="T202" s="21">
        <f t="shared" si="35"/>
        <v>0.49873371170647274</v>
      </c>
    </row>
    <row r="203" spans="1:20" x14ac:dyDescent="0.3">
      <c r="A203" s="7" t="s">
        <v>209</v>
      </c>
      <c r="B203" s="7" t="s">
        <v>259</v>
      </c>
      <c r="C203" s="19">
        <v>1522008</v>
      </c>
      <c r="D203" s="15">
        <v>0.04</v>
      </c>
      <c r="E203" s="18">
        <f t="shared" si="36"/>
        <v>1461127.68</v>
      </c>
      <c r="F203" s="19">
        <f>Cost_Drivers!B203*Finance_Assumptions!$B$4</f>
        <v>26600</v>
      </c>
      <c r="G203" s="19">
        <f>Cost_Drivers!C203*Finance_Assumptions!$B$5</f>
        <v>91200</v>
      </c>
      <c r="H203" s="19">
        <f>Cost_Drivers!D203*Finance_Assumptions!$B$6</f>
        <v>83750</v>
      </c>
      <c r="I203" s="19">
        <f>Cost_Drivers!E203*Finance_Assumptions!$B$7</f>
        <v>54180</v>
      </c>
      <c r="J203" s="19">
        <f t="shared" si="37"/>
        <v>255730</v>
      </c>
      <c r="K203" s="19">
        <f t="shared" si="30"/>
        <v>149388.69303265191</v>
      </c>
      <c r="L203" s="24">
        <f t="shared" si="31"/>
        <v>2.2602853172377841E-3</v>
      </c>
      <c r="M203" s="20">
        <f t="shared" si="38"/>
        <v>90411.412689511359</v>
      </c>
      <c r="N203" s="7">
        <f>Cost_Drivers!B203+Cost_Drivers!C203+Cost_Drivers!E203</f>
        <v>396</v>
      </c>
      <c r="P203" s="7">
        <f t="shared" si="32"/>
        <v>1.4744320085785135E-3</v>
      </c>
      <c r="Q203" s="20">
        <f t="shared" si="39"/>
        <v>58977.280343140541</v>
      </c>
      <c r="R203" s="19">
        <f t="shared" si="33"/>
        <v>1056008.986967348</v>
      </c>
      <c r="S203" s="22">
        <f t="shared" si="34"/>
        <v>0.72273559759496719</v>
      </c>
      <c r="T203" s="21">
        <f t="shared" si="35"/>
        <v>0.17502234986062273</v>
      </c>
    </row>
    <row r="204" spans="1:20" x14ac:dyDescent="0.3">
      <c r="A204" s="7" t="s">
        <v>210</v>
      </c>
      <c r="B204" s="7" t="s">
        <v>260</v>
      </c>
      <c r="C204" s="19">
        <v>9187990</v>
      </c>
      <c r="D204" s="15">
        <v>0.14000000000000001</v>
      </c>
      <c r="E204" s="18">
        <f t="shared" si="36"/>
        <v>7901671.3999999994</v>
      </c>
      <c r="F204" s="19">
        <f>Cost_Drivers!B204*Finance_Assumptions!$B$4</f>
        <v>87500</v>
      </c>
      <c r="G204" s="19">
        <f>Cost_Drivers!C204*Finance_Assumptions!$B$5</f>
        <v>1427200</v>
      </c>
      <c r="H204" s="19">
        <f>Cost_Drivers!D204*Finance_Assumptions!$B$6</f>
        <v>323250</v>
      </c>
      <c r="I204" s="19">
        <f>Cost_Drivers!E204*Finance_Assumptions!$B$7</f>
        <v>289800</v>
      </c>
      <c r="J204" s="19">
        <f t="shared" si="37"/>
        <v>2127750</v>
      </c>
      <c r="K204" s="19">
        <f t="shared" si="30"/>
        <v>880184.0392297426</v>
      </c>
      <c r="L204" s="24">
        <f t="shared" si="31"/>
        <v>1.2223457327875498E-2</v>
      </c>
      <c r="M204" s="20">
        <f t="shared" si="38"/>
        <v>488938.29311501991</v>
      </c>
      <c r="N204" s="7">
        <f>Cost_Drivers!B204+Cost_Drivers!C204+Cost_Drivers!E204</f>
        <v>2627</v>
      </c>
      <c r="P204" s="7">
        <f t="shared" si="32"/>
        <v>9.7811436528680677E-3</v>
      </c>
      <c r="Q204" s="20">
        <f t="shared" si="39"/>
        <v>391245.74611472269</v>
      </c>
      <c r="R204" s="19">
        <f t="shared" si="33"/>
        <v>4893737.3607702572</v>
      </c>
      <c r="S204" s="22">
        <f t="shared" si="34"/>
        <v>0.61932939412922916</v>
      </c>
      <c r="T204" s="21">
        <f t="shared" si="35"/>
        <v>0.26927847189393372</v>
      </c>
    </row>
    <row r="205" spans="1:20" x14ac:dyDescent="0.3">
      <c r="A205" s="7" t="s">
        <v>211</v>
      </c>
      <c r="B205" s="7" t="s">
        <v>258</v>
      </c>
      <c r="C205" s="19">
        <v>193834</v>
      </c>
      <c r="D205" s="15">
        <v>7.0000000000000007E-2</v>
      </c>
      <c r="E205" s="18">
        <f t="shared" si="36"/>
        <v>180265.62</v>
      </c>
      <c r="F205" s="19">
        <f>Cost_Drivers!B205*Finance_Assumptions!$B$4</f>
        <v>18200</v>
      </c>
      <c r="G205" s="19">
        <f>Cost_Drivers!C205*Finance_Assumptions!$B$5</f>
        <v>60800</v>
      </c>
      <c r="H205" s="19">
        <f>Cost_Drivers!D205*Finance_Assumptions!$B$6</f>
        <v>13750</v>
      </c>
      <c r="I205" s="19">
        <f>Cost_Drivers!E205*Finance_Assumptions!$B$7</f>
        <v>8820</v>
      </c>
      <c r="J205" s="19">
        <f t="shared" si="37"/>
        <v>101570</v>
      </c>
      <c r="K205" s="19">
        <f t="shared" si="30"/>
        <v>27983.82114886718</v>
      </c>
      <c r="L205" s="24">
        <f t="shared" si="31"/>
        <v>2.788611424353865E-4</v>
      </c>
      <c r="M205" s="20">
        <f t="shared" si="38"/>
        <v>11154.44569741546</v>
      </c>
      <c r="N205" s="7">
        <f>Cost_Drivers!B205+Cost_Drivers!C205+Cost_Drivers!E205</f>
        <v>113</v>
      </c>
      <c r="P205" s="7">
        <f t="shared" si="32"/>
        <v>4.2073438628629302E-4</v>
      </c>
      <c r="Q205" s="20">
        <f t="shared" si="39"/>
        <v>16829.37545145172</v>
      </c>
      <c r="R205" s="19">
        <f t="shared" si="33"/>
        <v>50711.798851132815</v>
      </c>
      <c r="S205" s="22">
        <f t="shared" si="34"/>
        <v>0.28131708559365237</v>
      </c>
      <c r="T205" s="21">
        <f t="shared" si="35"/>
        <v>0.56344631882662932</v>
      </c>
    </row>
    <row r="206" spans="1:20" x14ac:dyDescent="0.3">
      <c r="A206" s="7" t="s">
        <v>212</v>
      </c>
      <c r="B206" s="7" t="s">
        <v>258</v>
      </c>
      <c r="C206" s="19">
        <v>198124</v>
      </c>
      <c r="D206" s="15">
        <v>7.0000000000000007E-2</v>
      </c>
      <c r="E206" s="18">
        <f t="shared" si="36"/>
        <v>184255.31999999998</v>
      </c>
      <c r="F206" s="19">
        <f>Cost_Drivers!B206*Finance_Assumptions!$B$4</f>
        <v>18900</v>
      </c>
      <c r="G206" s="19">
        <f>Cost_Drivers!C206*Finance_Assumptions!$B$5</f>
        <v>92800</v>
      </c>
      <c r="H206" s="19">
        <f>Cost_Drivers!D206*Finance_Assumptions!$B$6</f>
        <v>19500</v>
      </c>
      <c r="I206" s="19">
        <f>Cost_Drivers!E206*Finance_Assumptions!$B$7</f>
        <v>15660</v>
      </c>
      <c r="J206" s="19">
        <f t="shared" si="37"/>
        <v>146860</v>
      </c>
      <c r="K206" s="19">
        <f t="shared" si="30"/>
        <v>37017.714175063069</v>
      </c>
      <c r="L206" s="24">
        <f t="shared" si="31"/>
        <v>2.8503299206469716E-4</v>
      </c>
      <c r="M206" s="20">
        <f t="shared" si="38"/>
        <v>11401.319682587886</v>
      </c>
      <c r="N206" s="7">
        <f>Cost_Drivers!B206+Cost_Drivers!C206+Cost_Drivers!E206</f>
        <v>172</v>
      </c>
      <c r="P206" s="7">
        <f t="shared" si="32"/>
        <v>6.4040986231187955E-4</v>
      </c>
      <c r="Q206" s="20">
        <f t="shared" si="39"/>
        <v>25616.394492475181</v>
      </c>
      <c r="R206" s="19">
        <f t="shared" si="33"/>
        <v>377.6058249369089</v>
      </c>
      <c r="S206" s="22">
        <f t="shared" si="34"/>
        <v>2.0493618579746245E-3</v>
      </c>
      <c r="T206" s="21">
        <f t="shared" si="35"/>
        <v>0.7970461856949369</v>
      </c>
    </row>
    <row r="207" spans="1:20" x14ac:dyDescent="0.3">
      <c r="A207" s="7" t="s">
        <v>213</v>
      </c>
      <c r="B207" s="7" t="s">
        <v>259</v>
      </c>
      <c r="C207" s="19">
        <v>770039</v>
      </c>
      <c r="D207" s="15">
        <v>0.1</v>
      </c>
      <c r="E207" s="18">
        <f t="shared" si="36"/>
        <v>693035.1</v>
      </c>
      <c r="F207" s="19">
        <f>Cost_Drivers!B207*Finance_Assumptions!$B$4</f>
        <v>35700</v>
      </c>
      <c r="G207" s="19">
        <f>Cost_Drivers!C207*Finance_Assumptions!$B$5</f>
        <v>126400</v>
      </c>
      <c r="H207" s="19">
        <f>Cost_Drivers!D207*Finance_Assumptions!$B$6</f>
        <v>43500</v>
      </c>
      <c r="I207" s="19">
        <f>Cost_Drivers!E207*Finance_Assumptions!$B$7</f>
        <v>41400</v>
      </c>
      <c r="J207" s="19">
        <f t="shared" si="37"/>
        <v>247000</v>
      </c>
      <c r="K207" s="19">
        <f t="shared" si="30"/>
        <v>96499.2186896114</v>
      </c>
      <c r="L207" s="24">
        <f t="shared" si="31"/>
        <v>1.072087732168909E-3</v>
      </c>
      <c r="M207" s="20">
        <f t="shared" si="38"/>
        <v>42883.509286756365</v>
      </c>
      <c r="N207" s="7">
        <f>Cost_Drivers!B207+Cost_Drivers!C207+Cost_Drivers!E207</f>
        <v>360</v>
      </c>
      <c r="P207" s="7">
        <f t="shared" si="32"/>
        <v>1.3403927350713759E-3</v>
      </c>
      <c r="Q207" s="20">
        <f t="shared" si="39"/>
        <v>53615.709402855035</v>
      </c>
      <c r="R207" s="19">
        <f t="shared" si="33"/>
        <v>349535.88131038856</v>
      </c>
      <c r="S207" s="22">
        <f t="shared" si="34"/>
        <v>0.50435523584647957</v>
      </c>
      <c r="T207" s="21">
        <f t="shared" si="35"/>
        <v>0.35640330482539773</v>
      </c>
    </row>
    <row r="208" spans="1:20" x14ac:dyDescent="0.3">
      <c r="A208" s="7" t="s">
        <v>214</v>
      </c>
      <c r="B208" s="7" t="s">
        <v>260</v>
      </c>
      <c r="C208" s="19">
        <v>3465507</v>
      </c>
      <c r="D208" s="15">
        <v>0.31</v>
      </c>
      <c r="E208" s="18">
        <f t="shared" si="36"/>
        <v>2391199.8299999996</v>
      </c>
      <c r="F208" s="19">
        <f>Cost_Drivers!B208*Finance_Assumptions!$B$4</f>
        <v>99400</v>
      </c>
      <c r="G208" s="19">
        <f>Cost_Drivers!C208*Finance_Assumptions!$B$5</f>
        <v>745600</v>
      </c>
      <c r="H208" s="19">
        <f>Cost_Drivers!D208*Finance_Assumptions!$B$6</f>
        <v>338000</v>
      </c>
      <c r="I208" s="19">
        <f>Cost_Drivers!E208*Finance_Assumptions!$B$7</f>
        <v>203940</v>
      </c>
      <c r="J208" s="19">
        <f t="shared" si="37"/>
        <v>1386940</v>
      </c>
      <c r="K208" s="19">
        <f t="shared" si="30"/>
        <v>407253.78863839724</v>
      </c>
      <c r="L208" s="24">
        <f t="shared" si="31"/>
        <v>3.6990565166286392E-3</v>
      </c>
      <c r="M208" s="20">
        <f t="shared" si="38"/>
        <v>147962.26066514556</v>
      </c>
      <c r="N208" s="7">
        <f>Cost_Drivers!B208+Cost_Drivers!C208+Cost_Drivers!E208</f>
        <v>1741</v>
      </c>
      <c r="P208" s="7">
        <f t="shared" si="32"/>
        <v>6.4822881993312929E-3</v>
      </c>
      <c r="Q208" s="20">
        <f t="shared" si="39"/>
        <v>259291.52797325171</v>
      </c>
      <c r="R208" s="19">
        <f t="shared" si="33"/>
        <v>597006.04136160237</v>
      </c>
      <c r="S208" s="22">
        <f t="shared" si="34"/>
        <v>0.24966798419419528</v>
      </c>
      <c r="T208" s="21">
        <f t="shared" si="35"/>
        <v>0.58001844203878195</v>
      </c>
    </row>
    <row r="209" spans="1:20" x14ac:dyDescent="0.3">
      <c r="A209" s="7" t="s">
        <v>215</v>
      </c>
      <c r="B209" s="7" t="s">
        <v>259</v>
      </c>
      <c r="C209" s="19">
        <v>1536164</v>
      </c>
      <c r="D209" s="15">
        <v>0.12</v>
      </c>
      <c r="E209" s="18">
        <f t="shared" si="36"/>
        <v>1351824.32</v>
      </c>
      <c r="F209" s="19">
        <f>Cost_Drivers!B209*Finance_Assumptions!$B$4</f>
        <v>44800</v>
      </c>
      <c r="G209" s="19">
        <f>Cost_Drivers!C209*Finance_Assumptions!$B$5</f>
        <v>300800</v>
      </c>
      <c r="H209" s="19">
        <f>Cost_Drivers!D209*Finance_Assumptions!$B$6</f>
        <v>71500</v>
      </c>
      <c r="I209" s="19">
        <f>Cost_Drivers!E209*Finance_Assumptions!$B$7</f>
        <v>92700</v>
      </c>
      <c r="J209" s="19">
        <f t="shared" si="37"/>
        <v>509800</v>
      </c>
      <c r="K209" s="19">
        <f t="shared" si="30"/>
        <v>197879.20530742515</v>
      </c>
      <c r="L209" s="24">
        <f t="shared" si="31"/>
        <v>2.0911989443530028E-3</v>
      </c>
      <c r="M209" s="20">
        <f t="shared" si="38"/>
        <v>83647.957774120106</v>
      </c>
      <c r="N209" s="7">
        <f>Cost_Drivers!B209+Cost_Drivers!C209+Cost_Drivers!E209</f>
        <v>767</v>
      </c>
      <c r="P209" s="7">
        <f t="shared" si="32"/>
        <v>2.8557811883326259E-3</v>
      </c>
      <c r="Q209" s="20">
        <f t="shared" si="39"/>
        <v>114231.24753330504</v>
      </c>
      <c r="R209" s="19">
        <f t="shared" si="33"/>
        <v>644145.11469257495</v>
      </c>
      <c r="S209" s="22">
        <f t="shared" si="34"/>
        <v>0.47650061118339321</v>
      </c>
      <c r="T209" s="21">
        <f t="shared" si="35"/>
        <v>0.37712000920356276</v>
      </c>
    </row>
    <row r="210" spans="1:20" x14ac:dyDescent="0.3">
      <c r="A210" s="7" t="s">
        <v>216</v>
      </c>
      <c r="B210" s="7" t="s">
        <v>258</v>
      </c>
      <c r="C210" s="19">
        <v>238469</v>
      </c>
      <c r="D210" s="15">
        <v>0.01</v>
      </c>
      <c r="E210" s="18">
        <f t="shared" si="36"/>
        <v>236084.31</v>
      </c>
      <c r="F210" s="19">
        <f>Cost_Drivers!B210*Finance_Assumptions!$B$4</f>
        <v>12600</v>
      </c>
      <c r="G210" s="19">
        <f>Cost_Drivers!C210*Finance_Assumptions!$B$5</f>
        <v>72000</v>
      </c>
      <c r="H210" s="19">
        <f>Cost_Drivers!D210*Finance_Assumptions!$B$6</f>
        <v>18000</v>
      </c>
      <c r="I210" s="19">
        <f>Cost_Drivers!E210*Finance_Assumptions!$B$7</f>
        <v>11520</v>
      </c>
      <c r="J210" s="19">
        <f t="shared" si="37"/>
        <v>114120</v>
      </c>
      <c r="K210" s="19">
        <f t="shared" si="30"/>
        <v>33522.816020612998</v>
      </c>
      <c r="L210" s="24">
        <f t="shared" si="31"/>
        <v>3.6520963008736745E-4</v>
      </c>
      <c r="M210" s="20">
        <f t="shared" si="38"/>
        <v>14608.385203494698</v>
      </c>
      <c r="N210" s="7">
        <f>Cost_Drivers!B210+Cost_Drivers!C210+Cost_Drivers!E210</f>
        <v>127</v>
      </c>
      <c r="P210" s="7">
        <f t="shared" si="32"/>
        <v>4.7286077042795762E-4</v>
      </c>
      <c r="Q210" s="20">
        <f t="shared" si="39"/>
        <v>18914.430817118304</v>
      </c>
      <c r="R210" s="19">
        <f t="shared" si="33"/>
        <v>88441.493979387</v>
      </c>
      <c r="S210" s="22">
        <f t="shared" si="34"/>
        <v>0.37461826234613815</v>
      </c>
      <c r="T210" s="21">
        <f t="shared" si="35"/>
        <v>0.48338663420707628</v>
      </c>
    </row>
    <row r="211" spans="1:20" x14ac:dyDescent="0.3">
      <c r="A211" s="7" t="s">
        <v>217</v>
      </c>
      <c r="B211" s="7" t="s">
        <v>258</v>
      </c>
      <c r="C211" s="19">
        <v>224441</v>
      </c>
      <c r="D211" s="15">
        <v>0.03</v>
      </c>
      <c r="E211" s="18">
        <f t="shared" si="36"/>
        <v>217707.77</v>
      </c>
      <c r="F211" s="19">
        <f>Cost_Drivers!B211*Finance_Assumptions!$B$4</f>
        <v>21000</v>
      </c>
      <c r="G211" s="19">
        <f>Cost_Drivers!C211*Finance_Assumptions!$B$5</f>
        <v>145600</v>
      </c>
      <c r="H211" s="19">
        <f>Cost_Drivers!D211*Finance_Assumptions!$B$6</f>
        <v>14750</v>
      </c>
      <c r="I211" s="19">
        <f>Cost_Drivers!E211*Finance_Assumptions!$B$7</f>
        <v>9360</v>
      </c>
      <c r="J211" s="19">
        <f t="shared" si="37"/>
        <v>190710</v>
      </c>
      <c r="K211" s="19">
        <f t="shared" si="30"/>
        <v>39236.611772561257</v>
      </c>
      <c r="L211" s="24">
        <f t="shared" si="31"/>
        <v>3.3678211884917582E-4</v>
      </c>
      <c r="M211" s="20">
        <f t="shared" si="38"/>
        <v>13471.284753967033</v>
      </c>
      <c r="N211" s="7">
        <f>Cost_Drivers!B211+Cost_Drivers!C211+Cost_Drivers!E211</f>
        <v>173</v>
      </c>
      <c r="P211" s="7">
        <f t="shared" si="32"/>
        <v>6.4413317546485561E-4</v>
      </c>
      <c r="Q211" s="20">
        <f t="shared" si="39"/>
        <v>25765.327018594224</v>
      </c>
      <c r="R211" s="19">
        <f t="shared" si="33"/>
        <v>-12238.841772561267</v>
      </c>
      <c r="S211" s="22">
        <f t="shared" si="34"/>
        <v>-5.6216834946043806E-2</v>
      </c>
      <c r="T211" s="21">
        <f t="shared" si="35"/>
        <v>0.8759907834249554</v>
      </c>
    </row>
    <row r="212" spans="1:20" x14ac:dyDescent="0.3">
      <c r="A212" s="7" t="s">
        <v>218</v>
      </c>
      <c r="B212" s="7" t="s">
        <v>258</v>
      </c>
      <c r="C212" s="19">
        <v>262329</v>
      </c>
      <c r="D212" s="15">
        <v>0.06</v>
      </c>
      <c r="E212" s="18">
        <f t="shared" si="36"/>
        <v>246589.25999999998</v>
      </c>
      <c r="F212" s="19">
        <f>Cost_Drivers!B212*Finance_Assumptions!$B$4</f>
        <v>20300</v>
      </c>
      <c r="G212" s="19">
        <f>Cost_Drivers!C212*Finance_Assumptions!$B$5</f>
        <v>139200</v>
      </c>
      <c r="H212" s="19">
        <f>Cost_Drivers!D212*Finance_Assumptions!$B$6</f>
        <v>9750</v>
      </c>
      <c r="I212" s="19">
        <f>Cost_Drivers!E212*Finance_Assumptions!$B$7</f>
        <v>13140</v>
      </c>
      <c r="J212" s="19">
        <f t="shared" si="37"/>
        <v>182390</v>
      </c>
      <c r="K212" s="19">
        <f t="shared" si="30"/>
        <v>43406.656168213027</v>
      </c>
      <c r="L212" s="24">
        <f t="shared" si="31"/>
        <v>3.8146021829285338E-4</v>
      </c>
      <c r="M212" s="20">
        <f t="shared" si="38"/>
        <v>15258.408731714135</v>
      </c>
      <c r="N212" s="7">
        <f>Cost_Drivers!B212+Cost_Drivers!C212+Cost_Drivers!E212</f>
        <v>189</v>
      </c>
      <c r="P212" s="7">
        <f t="shared" si="32"/>
        <v>7.0370618591247239E-4</v>
      </c>
      <c r="Q212" s="20">
        <f t="shared" si="39"/>
        <v>28148.247436498896</v>
      </c>
      <c r="R212" s="19">
        <f t="shared" si="33"/>
        <v>20792.603831786953</v>
      </c>
      <c r="S212" s="22">
        <f t="shared" si="34"/>
        <v>8.4320800637412013E-2</v>
      </c>
      <c r="T212" s="21">
        <f t="shared" si="35"/>
        <v>0.73965102940817462</v>
      </c>
    </row>
    <row r="213" spans="1:20" x14ac:dyDescent="0.3">
      <c r="A213" s="7" t="s">
        <v>219</v>
      </c>
      <c r="B213" s="7" t="s">
        <v>260</v>
      </c>
      <c r="C213" s="19">
        <v>5965959</v>
      </c>
      <c r="D213" s="15">
        <v>0.2</v>
      </c>
      <c r="E213" s="18">
        <f t="shared" si="36"/>
        <v>4772767.2</v>
      </c>
      <c r="F213" s="19">
        <f>Cost_Drivers!B213*Finance_Assumptions!$B$4</f>
        <v>151200</v>
      </c>
      <c r="G213" s="19">
        <f>Cost_Drivers!C213*Finance_Assumptions!$B$5</f>
        <v>1529600</v>
      </c>
      <c r="H213" s="19">
        <f>Cost_Drivers!D213*Finance_Assumptions!$B$6</f>
        <v>324000</v>
      </c>
      <c r="I213" s="19">
        <f>Cost_Drivers!E213*Finance_Assumptions!$B$7</f>
        <v>525240</v>
      </c>
      <c r="J213" s="19">
        <f t="shared" si="37"/>
        <v>2530040</v>
      </c>
      <c r="K213" s="19">
        <f t="shared" si="30"/>
        <v>904462.51741834101</v>
      </c>
      <c r="L213" s="24">
        <f t="shared" si="31"/>
        <v>7.3832121397865045E-3</v>
      </c>
      <c r="M213" s="20">
        <f t="shared" si="38"/>
        <v>295328.48559146019</v>
      </c>
      <c r="N213" s="7">
        <f>Cost_Drivers!B213+Cost_Drivers!C213+Cost_Drivers!E213</f>
        <v>4090</v>
      </c>
      <c r="P213" s="7">
        <f t="shared" si="32"/>
        <v>1.5228350795672021E-2</v>
      </c>
      <c r="Q213" s="20">
        <f t="shared" si="39"/>
        <v>609134.03182688088</v>
      </c>
      <c r="R213" s="19">
        <f t="shared" si="33"/>
        <v>1338264.6825816592</v>
      </c>
      <c r="S213" s="22">
        <f t="shared" si="34"/>
        <v>0.28039596873311967</v>
      </c>
      <c r="T213" s="21">
        <f t="shared" si="35"/>
        <v>0.53009918438929937</v>
      </c>
    </row>
    <row r="214" spans="1:20" x14ac:dyDescent="0.3">
      <c r="A214" s="7" t="s">
        <v>220</v>
      </c>
      <c r="B214" s="7" t="s">
        <v>258</v>
      </c>
      <c r="C214" s="19">
        <v>341560</v>
      </c>
      <c r="D214" s="15">
        <v>7.0000000000000007E-2</v>
      </c>
      <c r="E214" s="18">
        <f t="shared" si="36"/>
        <v>317650.8</v>
      </c>
      <c r="F214" s="19">
        <f>Cost_Drivers!B214*Finance_Assumptions!$B$4</f>
        <v>6300</v>
      </c>
      <c r="G214" s="19">
        <f>Cost_Drivers!C214*Finance_Assumptions!$B$5</f>
        <v>185600</v>
      </c>
      <c r="H214" s="19">
        <f>Cost_Drivers!D214*Finance_Assumptions!$B$6</f>
        <v>6500</v>
      </c>
      <c r="I214" s="19">
        <f>Cost_Drivers!E214*Finance_Assumptions!$B$7</f>
        <v>7200</v>
      </c>
      <c r="J214" s="19">
        <f t="shared" si="37"/>
        <v>205600</v>
      </c>
      <c r="K214" s="19">
        <f t="shared" si="30"/>
        <v>44229.409554512371</v>
      </c>
      <c r="L214" s="24">
        <f t="shared" si="31"/>
        <v>4.9138856862176203E-4</v>
      </c>
      <c r="M214" s="20">
        <f t="shared" si="38"/>
        <v>19655.54274487048</v>
      </c>
      <c r="N214" s="7">
        <f>Cost_Drivers!B214+Cost_Drivers!C214+Cost_Drivers!E214</f>
        <v>165</v>
      </c>
      <c r="P214" s="7">
        <f t="shared" si="32"/>
        <v>6.1434667024104733E-4</v>
      </c>
      <c r="Q214" s="20">
        <f t="shared" si="39"/>
        <v>24573.866809641891</v>
      </c>
      <c r="R214" s="19">
        <f t="shared" si="33"/>
        <v>67821.390445487617</v>
      </c>
      <c r="S214" s="22">
        <f t="shared" si="34"/>
        <v>0.21350927007105797</v>
      </c>
      <c r="T214" s="21">
        <f t="shared" si="35"/>
        <v>0.64725163607332326</v>
      </c>
    </row>
    <row r="215" spans="1:20" x14ac:dyDescent="0.3">
      <c r="A215" s="7" t="s">
        <v>221</v>
      </c>
      <c r="B215" s="7" t="s">
        <v>260</v>
      </c>
      <c r="C215" s="19">
        <v>5456470</v>
      </c>
      <c r="D215" s="15">
        <v>0.3</v>
      </c>
      <c r="E215" s="18">
        <f t="shared" si="36"/>
        <v>3819528.9999999995</v>
      </c>
      <c r="F215" s="19">
        <f>Cost_Drivers!B215*Finance_Assumptions!$B$4</f>
        <v>164500</v>
      </c>
      <c r="G215" s="19">
        <f>Cost_Drivers!C215*Finance_Assumptions!$B$5</f>
        <v>433600</v>
      </c>
      <c r="H215" s="19">
        <f>Cost_Drivers!D215*Finance_Assumptions!$B$6</f>
        <v>475500</v>
      </c>
      <c r="I215" s="19">
        <f>Cost_Drivers!E215*Finance_Assumptions!$B$7</f>
        <v>334080</v>
      </c>
      <c r="J215" s="19">
        <f t="shared" si="37"/>
        <v>1407680</v>
      </c>
      <c r="K215" s="19">
        <f t="shared" si="30"/>
        <v>588122.79936572281</v>
      </c>
      <c r="L215" s="24">
        <f t="shared" si="31"/>
        <v>5.9086043168136513E-3</v>
      </c>
      <c r="M215" s="20">
        <f t="shared" si="38"/>
        <v>236344.17267254606</v>
      </c>
      <c r="N215" s="7">
        <f>Cost_Drivers!B215+Cost_Drivers!C215+Cost_Drivers!E215</f>
        <v>2362</v>
      </c>
      <c r="P215" s="7">
        <f t="shared" si="32"/>
        <v>8.794465667329417E-3</v>
      </c>
      <c r="Q215" s="20">
        <f t="shared" si="39"/>
        <v>351778.62669317669</v>
      </c>
      <c r="R215" s="19">
        <f t="shared" si="33"/>
        <v>1823726.2006342767</v>
      </c>
      <c r="S215" s="22">
        <f t="shared" si="34"/>
        <v>0.47747410757564007</v>
      </c>
      <c r="T215" s="21">
        <f t="shared" si="35"/>
        <v>0.36854805919787498</v>
      </c>
    </row>
    <row r="216" spans="1:20" x14ac:dyDescent="0.3">
      <c r="A216" s="7" t="s">
        <v>222</v>
      </c>
      <c r="B216" s="7" t="s">
        <v>259</v>
      </c>
      <c r="C216" s="19">
        <v>1655630</v>
      </c>
      <c r="D216" s="15">
        <v>0.01</v>
      </c>
      <c r="E216" s="18">
        <f t="shared" si="36"/>
        <v>1639073.7</v>
      </c>
      <c r="F216" s="19">
        <f>Cost_Drivers!B216*Finance_Assumptions!$B$4</f>
        <v>25200</v>
      </c>
      <c r="G216" s="19">
        <f>Cost_Drivers!C216*Finance_Assumptions!$B$5</f>
        <v>467200</v>
      </c>
      <c r="H216" s="19">
        <f>Cost_Drivers!D216*Finance_Assumptions!$B$6</f>
        <v>28500</v>
      </c>
      <c r="I216" s="19">
        <f>Cost_Drivers!E216*Finance_Assumptions!$B$7</f>
        <v>57960</v>
      </c>
      <c r="J216" s="19">
        <f t="shared" si="37"/>
        <v>578860</v>
      </c>
      <c r="K216" s="19">
        <f t="shared" si="30"/>
        <v>198228.46854587004</v>
      </c>
      <c r="L216" s="24">
        <f t="shared" si="31"/>
        <v>2.5355581642123215E-3</v>
      </c>
      <c r="M216" s="20">
        <f t="shared" si="38"/>
        <v>101422.32656849286</v>
      </c>
      <c r="N216" s="7">
        <f>Cost_Drivers!B216+Cost_Drivers!C216+Cost_Drivers!E216</f>
        <v>650</v>
      </c>
      <c r="P216" s="7">
        <f t="shared" si="32"/>
        <v>2.4201535494344289E-3</v>
      </c>
      <c r="Q216" s="20">
        <f t="shared" si="39"/>
        <v>96806.141977377163</v>
      </c>
      <c r="R216" s="19">
        <f t="shared" si="33"/>
        <v>861985.23145412991</v>
      </c>
      <c r="S216" s="22">
        <f t="shared" si="34"/>
        <v>0.5258977869354684</v>
      </c>
      <c r="T216" s="21">
        <f t="shared" si="35"/>
        <v>0.35316288706236942</v>
      </c>
    </row>
    <row r="217" spans="1:20" x14ac:dyDescent="0.3">
      <c r="A217" s="7" t="s">
        <v>223</v>
      </c>
      <c r="B217" s="7" t="s">
        <v>258</v>
      </c>
      <c r="C217" s="19">
        <v>502928</v>
      </c>
      <c r="D217" s="15">
        <v>0.02</v>
      </c>
      <c r="E217" s="18">
        <f t="shared" si="36"/>
        <v>492869.44</v>
      </c>
      <c r="F217" s="19">
        <f>Cost_Drivers!B217*Finance_Assumptions!$B$4</f>
        <v>26600</v>
      </c>
      <c r="G217" s="19">
        <f>Cost_Drivers!C217*Finance_Assumptions!$B$5</f>
        <v>81600</v>
      </c>
      <c r="H217" s="19">
        <f>Cost_Drivers!D217*Finance_Assumptions!$B$6</f>
        <v>8250</v>
      </c>
      <c r="I217" s="19">
        <f>Cost_Drivers!E217*Finance_Assumptions!$B$7</f>
        <v>13320</v>
      </c>
      <c r="J217" s="19">
        <f t="shared" si="37"/>
        <v>129770</v>
      </c>
      <c r="K217" s="19">
        <f t="shared" si="30"/>
        <v>54773.694020607232</v>
      </c>
      <c r="L217" s="24">
        <f t="shared" si="31"/>
        <v>7.6244230658008554E-4</v>
      </c>
      <c r="M217" s="20">
        <f t="shared" si="38"/>
        <v>30497.692263203422</v>
      </c>
      <c r="N217" s="7">
        <f>Cost_Drivers!B217+Cost_Drivers!C217+Cost_Drivers!E217</f>
        <v>163</v>
      </c>
      <c r="P217" s="7">
        <f t="shared" si="32"/>
        <v>6.0690004393509521E-4</v>
      </c>
      <c r="Q217" s="20">
        <f t="shared" si="39"/>
        <v>24276.001757403807</v>
      </c>
      <c r="R217" s="19">
        <f t="shared" si="33"/>
        <v>308325.74597939278</v>
      </c>
      <c r="S217" s="22">
        <f t="shared" si="34"/>
        <v>0.62557286160690506</v>
      </c>
      <c r="T217" s="21">
        <f t="shared" si="35"/>
        <v>0.26329487987731598</v>
      </c>
    </row>
    <row r="218" spans="1:20" x14ac:dyDescent="0.3">
      <c r="A218" s="7" t="s">
        <v>224</v>
      </c>
      <c r="B218" s="7" t="s">
        <v>260</v>
      </c>
      <c r="C218" s="19">
        <v>7849370</v>
      </c>
      <c r="D218" s="15">
        <v>0.19</v>
      </c>
      <c r="E218" s="18">
        <f t="shared" si="36"/>
        <v>6357989.7000000002</v>
      </c>
      <c r="F218" s="19">
        <f>Cost_Drivers!B218*Finance_Assumptions!$B$4</f>
        <v>32900</v>
      </c>
      <c r="G218" s="19">
        <f>Cost_Drivers!C218*Finance_Assumptions!$B$5</f>
        <v>768000</v>
      </c>
      <c r="H218" s="19">
        <f>Cost_Drivers!D218*Finance_Assumptions!$B$6</f>
        <v>289500</v>
      </c>
      <c r="I218" s="19">
        <f>Cost_Drivers!E218*Finance_Assumptions!$B$7</f>
        <v>419580</v>
      </c>
      <c r="J218" s="19">
        <f t="shared" si="37"/>
        <v>1509980</v>
      </c>
      <c r="K218" s="19">
        <f t="shared" si="30"/>
        <v>819067.77631720586</v>
      </c>
      <c r="L218" s="24">
        <f t="shared" si="31"/>
        <v>9.8354654167246112E-3</v>
      </c>
      <c r="M218" s="20">
        <f t="shared" si="38"/>
        <v>393418.61666898447</v>
      </c>
      <c r="N218" s="7">
        <f>Cost_Drivers!B218+Cost_Drivers!C218+Cost_Drivers!E218</f>
        <v>2858</v>
      </c>
      <c r="P218" s="7">
        <f t="shared" si="32"/>
        <v>1.0641228991205535E-2</v>
      </c>
      <c r="Q218" s="20">
        <f t="shared" si="39"/>
        <v>425649.15964822139</v>
      </c>
      <c r="R218" s="19">
        <f t="shared" si="33"/>
        <v>4028941.9236827944</v>
      </c>
      <c r="S218" s="22">
        <f t="shared" si="34"/>
        <v>0.6336817317717256</v>
      </c>
      <c r="T218" s="21">
        <f t="shared" si="35"/>
        <v>0.23749330704326244</v>
      </c>
    </row>
    <row r="219" spans="1:20" x14ac:dyDescent="0.3">
      <c r="A219" s="7" t="s">
        <v>225</v>
      </c>
      <c r="B219" s="7" t="s">
        <v>260</v>
      </c>
      <c r="C219" s="19">
        <v>3826092</v>
      </c>
      <c r="D219" s="15">
        <v>0.22</v>
      </c>
      <c r="E219" s="18">
        <f t="shared" si="36"/>
        <v>2984351.7600000002</v>
      </c>
      <c r="F219" s="19">
        <f>Cost_Drivers!B219*Finance_Assumptions!$B$4</f>
        <v>58800</v>
      </c>
      <c r="G219" s="19">
        <f>Cost_Drivers!C219*Finance_Assumptions!$B$5</f>
        <v>368000</v>
      </c>
      <c r="H219" s="19">
        <f>Cost_Drivers!D219*Finance_Assumptions!$B$6</f>
        <v>282250</v>
      </c>
      <c r="I219" s="19">
        <f>Cost_Drivers!E219*Finance_Assumptions!$B$7</f>
        <v>493380</v>
      </c>
      <c r="J219" s="19">
        <f t="shared" si="37"/>
        <v>1202430</v>
      </c>
      <c r="K219" s="19">
        <f t="shared" si="30"/>
        <v>639654.0832616773</v>
      </c>
      <c r="L219" s="24">
        <f t="shared" si="31"/>
        <v>4.6166303992001166E-3</v>
      </c>
      <c r="M219" s="20">
        <f t="shared" si="38"/>
        <v>184665.21596800466</v>
      </c>
      <c r="N219" s="7">
        <f>Cost_Drivers!B219+Cost_Drivers!C219+Cost_Drivers!E219</f>
        <v>3055</v>
      </c>
      <c r="P219" s="7">
        <f t="shared" si="32"/>
        <v>1.1374721682341816E-2</v>
      </c>
      <c r="Q219" s="20">
        <f t="shared" si="39"/>
        <v>454988.86729367264</v>
      </c>
      <c r="R219" s="19">
        <f t="shared" si="33"/>
        <v>1142267.6767383229</v>
      </c>
      <c r="S219" s="22">
        <f t="shared" si="34"/>
        <v>0.38275235917173611</v>
      </c>
      <c r="T219" s="21">
        <f t="shared" si="35"/>
        <v>0.40291161923887953</v>
      </c>
    </row>
    <row r="220" spans="1:20" x14ac:dyDescent="0.3">
      <c r="A220" s="7" t="s">
        <v>226</v>
      </c>
      <c r="B220" s="7" t="s">
        <v>260</v>
      </c>
      <c r="C220" s="19">
        <v>11422427</v>
      </c>
      <c r="D220" s="15">
        <v>0.32</v>
      </c>
      <c r="E220" s="18">
        <f t="shared" si="36"/>
        <v>7767250.3599999994</v>
      </c>
      <c r="F220" s="19">
        <f>Cost_Drivers!B220*Finance_Assumptions!$B$4</f>
        <v>49700</v>
      </c>
      <c r="G220" s="19">
        <f>Cost_Drivers!C220*Finance_Assumptions!$B$5</f>
        <v>1601600</v>
      </c>
      <c r="H220" s="19">
        <f>Cost_Drivers!D220*Finance_Assumptions!$B$6</f>
        <v>488250</v>
      </c>
      <c r="I220" s="19">
        <f>Cost_Drivers!E220*Finance_Assumptions!$B$7</f>
        <v>340020</v>
      </c>
      <c r="J220" s="19">
        <f t="shared" si="37"/>
        <v>2479570</v>
      </c>
      <c r="K220" s="19">
        <f t="shared" si="30"/>
        <v>921609.82046213176</v>
      </c>
      <c r="L220" s="24">
        <f t="shared" si="31"/>
        <v>1.2015515265591227E-2</v>
      </c>
      <c r="M220" s="20">
        <f t="shared" si="38"/>
        <v>480620.61062364909</v>
      </c>
      <c r="N220" s="7">
        <f>Cost_Drivers!B220+Cost_Drivers!C220+Cost_Drivers!E220</f>
        <v>2961</v>
      </c>
      <c r="P220" s="7">
        <f t="shared" si="32"/>
        <v>1.1024730245962067E-2</v>
      </c>
      <c r="Q220" s="20">
        <f t="shared" si="39"/>
        <v>440989.20983848267</v>
      </c>
      <c r="R220" s="19">
        <f t="shared" si="33"/>
        <v>4366070.5395378675</v>
      </c>
      <c r="S220" s="22">
        <f t="shared" si="34"/>
        <v>0.56211276026615264</v>
      </c>
      <c r="T220" s="21">
        <f t="shared" si="35"/>
        <v>0.31923394831835961</v>
      </c>
    </row>
    <row r="221" spans="1:20" x14ac:dyDescent="0.3">
      <c r="A221" s="7" t="s">
        <v>227</v>
      </c>
      <c r="B221" s="7" t="s">
        <v>258</v>
      </c>
      <c r="C221" s="19">
        <v>401212</v>
      </c>
      <c r="D221" s="15">
        <v>0.08</v>
      </c>
      <c r="E221" s="18">
        <f t="shared" si="36"/>
        <v>369115.04000000004</v>
      </c>
      <c r="F221" s="19">
        <f>Cost_Drivers!B221*Finance_Assumptions!$B$4</f>
        <v>26600</v>
      </c>
      <c r="G221" s="19">
        <f>Cost_Drivers!C221*Finance_Assumptions!$B$5</f>
        <v>171200</v>
      </c>
      <c r="H221" s="19">
        <f>Cost_Drivers!D221*Finance_Assumptions!$B$6</f>
        <v>9250</v>
      </c>
      <c r="I221" s="19">
        <f>Cost_Drivers!E221*Finance_Assumptions!$B$7</f>
        <v>12420</v>
      </c>
      <c r="J221" s="19">
        <f t="shared" si="37"/>
        <v>219470</v>
      </c>
      <c r="K221" s="19">
        <f t="shared" si="30"/>
        <v>54711.598916136099</v>
      </c>
      <c r="L221" s="24">
        <f t="shared" si="31"/>
        <v>5.7100095816652898E-4</v>
      </c>
      <c r="M221" s="20">
        <f t="shared" si="38"/>
        <v>22840.038326661161</v>
      </c>
      <c r="N221" s="7">
        <f>Cost_Drivers!B221+Cost_Drivers!C221+Cost_Drivers!E221</f>
        <v>214</v>
      </c>
      <c r="P221" s="7">
        <f t="shared" si="32"/>
        <v>7.9678901473687351E-4</v>
      </c>
      <c r="Q221" s="20">
        <f t="shared" si="39"/>
        <v>31871.560589474939</v>
      </c>
      <c r="R221" s="19">
        <f t="shared" si="33"/>
        <v>94933.441083863931</v>
      </c>
      <c r="S221" s="22">
        <f t="shared" si="34"/>
        <v>0.25719201548618537</v>
      </c>
      <c r="T221" s="21">
        <f t="shared" si="35"/>
        <v>0.59458427919924361</v>
      </c>
    </row>
    <row r="222" spans="1:20" x14ac:dyDescent="0.3">
      <c r="A222" s="7" t="s">
        <v>228</v>
      </c>
      <c r="B222" s="7" t="s">
        <v>259</v>
      </c>
      <c r="C222" s="19">
        <v>1982251</v>
      </c>
      <c r="D222" s="15">
        <v>0.18</v>
      </c>
      <c r="E222" s="18">
        <f t="shared" si="36"/>
        <v>1625445.82</v>
      </c>
      <c r="F222" s="19">
        <f>Cost_Drivers!B222*Finance_Assumptions!$B$4</f>
        <v>11900</v>
      </c>
      <c r="G222" s="19">
        <f>Cost_Drivers!C222*Finance_Assumptions!$B$5</f>
        <v>363200</v>
      </c>
      <c r="H222" s="19">
        <f>Cost_Drivers!D222*Finance_Assumptions!$B$6</f>
        <v>55000</v>
      </c>
      <c r="I222" s="19">
        <f>Cost_Drivers!E222*Finance_Assumptions!$B$7</f>
        <v>66960</v>
      </c>
      <c r="J222" s="19">
        <f t="shared" si="37"/>
        <v>497060</v>
      </c>
      <c r="K222" s="19">
        <f t="shared" si="30"/>
        <v>192321.49899262178</v>
      </c>
      <c r="L222" s="24">
        <f t="shared" si="31"/>
        <v>2.5144765725823017E-3</v>
      </c>
      <c r="M222" s="20">
        <f t="shared" si="38"/>
        <v>100579.06290329207</v>
      </c>
      <c r="N222" s="7">
        <f>Cost_Drivers!B222+Cost_Drivers!C222+Cost_Drivers!E222</f>
        <v>616</v>
      </c>
      <c r="P222" s="7">
        <f t="shared" si="32"/>
        <v>2.293560902233243E-3</v>
      </c>
      <c r="Q222" s="20">
        <f t="shared" si="39"/>
        <v>91742.436089329727</v>
      </c>
      <c r="R222" s="19">
        <f t="shared" si="33"/>
        <v>936064.32100737828</v>
      </c>
      <c r="S222" s="22">
        <f t="shared" si="34"/>
        <v>0.57588158860156791</v>
      </c>
      <c r="T222" s="21">
        <f t="shared" si="35"/>
        <v>0.30579918068262651</v>
      </c>
    </row>
    <row r="223" spans="1:20" x14ac:dyDescent="0.3">
      <c r="A223" s="7" t="s">
        <v>229</v>
      </c>
      <c r="B223" s="7" t="s">
        <v>258</v>
      </c>
      <c r="C223" s="19">
        <v>584093</v>
      </c>
      <c r="D223" s="15">
        <v>0</v>
      </c>
      <c r="E223" s="18">
        <f t="shared" si="36"/>
        <v>584093</v>
      </c>
      <c r="F223" s="19">
        <f>Cost_Drivers!B223*Finance_Assumptions!$B$4</f>
        <v>17500</v>
      </c>
      <c r="G223" s="19">
        <f>Cost_Drivers!C223*Finance_Assumptions!$B$5</f>
        <v>171200</v>
      </c>
      <c r="H223" s="19">
        <f>Cost_Drivers!D223*Finance_Assumptions!$B$6</f>
        <v>6750</v>
      </c>
      <c r="I223" s="19">
        <f>Cost_Drivers!E223*Finance_Assumptions!$B$7</f>
        <v>14040</v>
      </c>
      <c r="J223" s="19">
        <f t="shared" si="37"/>
        <v>209490</v>
      </c>
      <c r="K223" s="19">
        <f t="shared" si="30"/>
        <v>67418.238841847342</v>
      </c>
      <c r="L223" s="24">
        <f t="shared" si="31"/>
        <v>9.0356020892121429E-4</v>
      </c>
      <c r="M223" s="20">
        <f t="shared" si="38"/>
        <v>36142.408356848573</v>
      </c>
      <c r="N223" s="7">
        <f>Cost_Drivers!B223+Cost_Drivers!C223+Cost_Drivers!E223</f>
        <v>210</v>
      </c>
      <c r="P223" s="7">
        <f t="shared" si="32"/>
        <v>7.8189576212496926E-4</v>
      </c>
      <c r="Q223" s="20">
        <f t="shared" si="39"/>
        <v>31275.830484998769</v>
      </c>
      <c r="R223" s="19">
        <f t="shared" si="33"/>
        <v>307184.76115815266</v>
      </c>
      <c r="S223" s="22">
        <f t="shared" si="34"/>
        <v>0.52591755278380781</v>
      </c>
      <c r="T223" s="21">
        <f t="shared" si="35"/>
        <v>0.35865863826479688</v>
      </c>
    </row>
    <row r="224" spans="1:20" x14ac:dyDescent="0.3">
      <c r="A224" s="7" t="s">
        <v>230</v>
      </c>
      <c r="B224" s="7" t="s">
        <v>258</v>
      </c>
      <c r="C224" s="19">
        <v>339040</v>
      </c>
      <c r="D224" s="15">
        <v>0.1</v>
      </c>
      <c r="E224" s="18">
        <f t="shared" si="36"/>
        <v>305136</v>
      </c>
      <c r="F224" s="19">
        <f>Cost_Drivers!B224*Finance_Assumptions!$B$4</f>
        <v>13300</v>
      </c>
      <c r="G224" s="19">
        <f>Cost_Drivers!C224*Finance_Assumptions!$B$5</f>
        <v>136000</v>
      </c>
      <c r="H224" s="19">
        <f>Cost_Drivers!D224*Finance_Assumptions!$B$6</f>
        <v>24750</v>
      </c>
      <c r="I224" s="19">
        <f>Cost_Drivers!E224*Finance_Assumptions!$B$7</f>
        <v>11520</v>
      </c>
      <c r="J224" s="19">
        <f t="shared" si="37"/>
        <v>185570</v>
      </c>
      <c r="K224" s="19">
        <f t="shared" si="30"/>
        <v>43901.818444588193</v>
      </c>
      <c r="L224" s="24">
        <f t="shared" si="31"/>
        <v>4.7202885141472956E-4</v>
      </c>
      <c r="M224" s="20">
        <f t="shared" si="38"/>
        <v>18881.154056589181</v>
      </c>
      <c r="N224" s="7">
        <f>Cost_Drivers!B224+Cost_Drivers!C224+Cost_Drivers!E224</f>
        <v>168</v>
      </c>
      <c r="P224" s="7">
        <f t="shared" si="32"/>
        <v>6.2551660969997541E-4</v>
      </c>
      <c r="Q224" s="20">
        <f t="shared" si="39"/>
        <v>25020.664387999015</v>
      </c>
      <c r="R224" s="19">
        <f t="shared" si="33"/>
        <v>75664.181555411807</v>
      </c>
      <c r="S224" s="22">
        <f t="shared" si="34"/>
        <v>0.24796871413209784</v>
      </c>
      <c r="T224" s="21">
        <f t="shared" si="35"/>
        <v>0.60815505217345711</v>
      </c>
    </row>
    <row r="225" spans="1:20" x14ac:dyDescent="0.3">
      <c r="A225" s="7" t="s">
        <v>231</v>
      </c>
      <c r="B225" s="7" t="s">
        <v>259</v>
      </c>
      <c r="C225" s="19">
        <v>1914344</v>
      </c>
      <c r="D225" s="15">
        <v>0.13</v>
      </c>
      <c r="E225" s="18">
        <f t="shared" si="36"/>
        <v>1665479.28</v>
      </c>
      <c r="F225" s="19">
        <f>Cost_Drivers!B225*Finance_Assumptions!$B$4</f>
        <v>46900</v>
      </c>
      <c r="G225" s="19">
        <f>Cost_Drivers!C225*Finance_Assumptions!$B$5</f>
        <v>390400</v>
      </c>
      <c r="H225" s="19">
        <f>Cost_Drivers!D225*Finance_Assumptions!$B$6</f>
        <v>37500</v>
      </c>
      <c r="I225" s="19">
        <f>Cost_Drivers!E225*Finance_Assumptions!$B$7</f>
        <v>66420</v>
      </c>
      <c r="J225" s="19">
        <f t="shared" si="37"/>
        <v>541220</v>
      </c>
      <c r="K225" s="19">
        <f t="shared" si="30"/>
        <v>204330.36436487985</v>
      </c>
      <c r="L225" s="24">
        <f t="shared" si="31"/>
        <v>2.5764061650982864E-3</v>
      </c>
      <c r="M225" s="20">
        <f t="shared" si="38"/>
        <v>103056.24660393146</v>
      </c>
      <c r="N225" s="7">
        <f>Cost_Drivers!B225+Cost_Drivers!C225+Cost_Drivers!E225</f>
        <v>680</v>
      </c>
      <c r="P225" s="7">
        <f t="shared" si="32"/>
        <v>2.5318529440237101E-3</v>
      </c>
      <c r="Q225" s="20">
        <f t="shared" si="39"/>
        <v>101274.1177609484</v>
      </c>
      <c r="R225" s="19">
        <f t="shared" si="33"/>
        <v>919928.91563512012</v>
      </c>
      <c r="S225" s="22">
        <f t="shared" si="34"/>
        <v>0.55235086181025328</v>
      </c>
      <c r="T225" s="21">
        <f t="shared" si="35"/>
        <v>0.32496351440649562</v>
      </c>
    </row>
    <row r="226" spans="1:20" x14ac:dyDescent="0.3">
      <c r="A226" s="7" t="s">
        <v>232</v>
      </c>
      <c r="B226" s="7" t="s">
        <v>260</v>
      </c>
      <c r="C226" s="19">
        <v>4387491</v>
      </c>
      <c r="D226" s="15">
        <v>0.11</v>
      </c>
      <c r="E226" s="18">
        <f t="shared" si="36"/>
        <v>3904866.99</v>
      </c>
      <c r="F226" s="19">
        <f>Cost_Drivers!B226*Finance_Assumptions!$B$4</f>
        <v>109200</v>
      </c>
      <c r="G226" s="19">
        <f>Cost_Drivers!C226*Finance_Assumptions!$B$5</f>
        <v>1121600</v>
      </c>
      <c r="H226" s="19">
        <f>Cost_Drivers!D226*Finance_Assumptions!$B$6</f>
        <v>267250</v>
      </c>
      <c r="I226" s="19">
        <f>Cost_Drivers!E226*Finance_Assumptions!$B$7</f>
        <v>362160</v>
      </c>
      <c r="J226" s="19">
        <f t="shared" si="37"/>
        <v>1860210</v>
      </c>
      <c r="K226" s="19">
        <f t="shared" si="30"/>
        <v>668912.11989174609</v>
      </c>
      <c r="L226" s="24">
        <f t="shared" si="31"/>
        <v>6.0406175614053812E-3</v>
      </c>
      <c r="M226" s="20">
        <f t="shared" si="38"/>
        <v>241624.70245621525</v>
      </c>
      <c r="N226" s="7">
        <f>Cost_Drivers!B226+Cost_Drivers!C226+Cost_Drivers!E226</f>
        <v>2869</v>
      </c>
      <c r="P226" s="7">
        <f t="shared" si="32"/>
        <v>1.068218543588827E-2</v>
      </c>
      <c r="Q226" s="20">
        <f t="shared" si="39"/>
        <v>427287.41743553081</v>
      </c>
      <c r="R226" s="19">
        <f t="shared" si="33"/>
        <v>1375744.8701082543</v>
      </c>
      <c r="S226" s="22">
        <f t="shared" si="34"/>
        <v>0.35231542422095513</v>
      </c>
      <c r="T226" s="21">
        <f t="shared" si="35"/>
        <v>0.4763824234638015</v>
      </c>
    </row>
    <row r="227" spans="1:20" x14ac:dyDescent="0.3">
      <c r="A227" s="7" t="s">
        <v>233</v>
      </c>
      <c r="B227" s="7" t="s">
        <v>260</v>
      </c>
      <c r="C227" s="19">
        <v>4860397</v>
      </c>
      <c r="D227" s="15">
        <v>0.17</v>
      </c>
      <c r="E227" s="18">
        <f t="shared" si="36"/>
        <v>4034129.51</v>
      </c>
      <c r="F227" s="19">
        <f>Cost_Drivers!B227*Finance_Assumptions!$B$4</f>
        <v>171500</v>
      </c>
      <c r="G227" s="19">
        <f>Cost_Drivers!C227*Finance_Assumptions!$B$5</f>
        <v>1660800</v>
      </c>
      <c r="H227" s="19">
        <f>Cost_Drivers!D227*Finance_Assumptions!$B$6</f>
        <v>182000</v>
      </c>
      <c r="I227" s="19">
        <f>Cost_Drivers!E227*Finance_Assumptions!$B$7</f>
        <v>306720</v>
      </c>
      <c r="J227" s="19">
        <f t="shared" si="37"/>
        <v>2321020</v>
      </c>
      <c r="K227" s="19">
        <f t="shared" si="30"/>
        <v>694484.64243273239</v>
      </c>
      <c r="L227" s="24">
        <f t="shared" si="31"/>
        <v>6.2405796728788659E-3</v>
      </c>
      <c r="M227" s="20">
        <f t="shared" si="38"/>
        <v>249623.18691515463</v>
      </c>
      <c r="N227" s="7">
        <f>Cost_Drivers!B227+Cost_Drivers!C227+Cost_Drivers!E227</f>
        <v>2987</v>
      </c>
      <c r="P227" s="7">
        <f t="shared" si="32"/>
        <v>1.1121536387939444E-2</v>
      </c>
      <c r="Q227" s="20">
        <f t="shared" si="39"/>
        <v>444861.45551757776</v>
      </c>
      <c r="R227" s="19">
        <f t="shared" si="33"/>
        <v>1018624.8675672674</v>
      </c>
      <c r="S227" s="22">
        <f t="shared" si="34"/>
        <v>0.25250177641601484</v>
      </c>
      <c r="T227" s="21">
        <f t="shared" si="35"/>
        <v>0.57534593132088119</v>
      </c>
    </row>
    <row r="228" spans="1:20" x14ac:dyDescent="0.3">
      <c r="A228" s="7" t="s">
        <v>234</v>
      </c>
      <c r="B228" s="7" t="s">
        <v>258</v>
      </c>
      <c r="C228" s="19">
        <v>295213</v>
      </c>
      <c r="D228" s="15">
        <v>0.08</v>
      </c>
      <c r="E228" s="18">
        <f t="shared" si="36"/>
        <v>271595.96000000002</v>
      </c>
      <c r="F228" s="19">
        <f>Cost_Drivers!B228*Finance_Assumptions!$B$4</f>
        <v>14700</v>
      </c>
      <c r="G228" s="19">
        <f>Cost_Drivers!C228*Finance_Assumptions!$B$5</f>
        <v>161600</v>
      </c>
      <c r="H228" s="19">
        <f>Cost_Drivers!D228*Finance_Assumptions!$B$6</f>
        <v>19250</v>
      </c>
      <c r="I228" s="19">
        <f>Cost_Drivers!E228*Finance_Assumptions!$B$7</f>
        <v>3780</v>
      </c>
      <c r="J228" s="19">
        <f t="shared" si="37"/>
        <v>199330</v>
      </c>
      <c r="K228" s="19">
        <f t="shared" si="30"/>
        <v>38103.120340953552</v>
      </c>
      <c r="L228" s="24">
        <f t="shared" si="31"/>
        <v>4.201442276482645E-4</v>
      </c>
      <c r="M228" s="20">
        <f t="shared" si="38"/>
        <v>16805.76910593058</v>
      </c>
      <c r="N228" s="7">
        <f>Cost_Drivers!B228+Cost_Drivers!C228+Cost_Drivers!E228</f>
        <v>143</v>
      </c>
      <c r="P228" s="7">
        <f t="shared" si="32"/>
        <v>5.3243378087557429E-4</v>
      </c>
      <c r="Q228" s="20">
        <f t="shared" si="39"/>
        <v>21297.351235022972</v>
      </c>
      <c r="R228" s="19">
        <f t="shared" si="33"/>
        <v>34162.839659046469</v>
      </c>
      <c r="S228" s="22">
        <f t="shared" si="34"/>
        <v>0.12578552221117895</v>
      </c>
      <c r="T228" s="21">
        <f t="shared" si="35"/>
        <v>0.73392107894388414</v>
      </c>
    </row>
    <row r="229" spans="1:20" x14ac:dyDescent="0.3">
      <c r="A229" s="7" t="s">
        <v>235</v>
      </c>
      <c r="B229" s="7" t="s">
        <v>258</v>
      </c>
      <c r="C229" s="19">
        <v>398179</v>
      </c>
      <c r="D229" s="15">
        <v>0.01</v>
      </c>
      <c r="E229" s="18">
        <f t="shared" si="36"/>
        <v>394197.21</v>
      </c>
      <c r="F229" s="19">
        <f>Cost_Drivers!B229*Finance_Assumptions!$B$4</f>
        <v>12600</v>
      </c>
      <c r="G229" s="19">
        <f>Cost_Drivers!C229*Finance_Assumptions!$B$5</f>
        <v>163200</v>
      </c>
      <c r="H229" s="19">
        <f>Cost_Drivers!D229*Finance_Assumptions!$B$6</f>
        <v>19000</v>
      </c>
      <c r="I229" s="19">
        <f>Cost_Drivers!E229*Finance_Assumptions!$B$7</f>
        <v>4320</v>
      </c>
      <c r="J229" s="19">
        <f t="shared" si="37"/>
        <v>199120</v>
      </c>
      <c r="K229" s="19">
        <f t="shared" si="30"/>
        <v>45838.352381978752</v>
      </c>
      <c r="L229" s="24">
        <f t="shared" si="31"/>
        <v>6.0980171552091843E-4</v>
      </c>
      <c r="M229" s="20">
        <f t="shared" si="38"/>
        <v>24392.068620836737</v>
      </c>
      <c r="N229" s="7">
        <f>Cost_Drivers!B229+Cost_Drivers!C229+Cost_Drivers!E229</f>
        <v>144</v>
      </c>
      <c r="P229" s="7">
        <f t="shared" si="32"/>
        <v>5.3615709402855035E-4</v>
      </c>
      <c r="Q229" s="20">
        <f t="shared" si="39"/>
        <v>21446.283761142015</v>
      </c>
      <c r="R229" s="19">
        <f t="shared" si="33"/>
        <v>149238.85761802125</v>
      </c>
      <c r="S229" s="22">
        <f t="shared" si="34"/>
        <v>0.37858932999049194</v>
      </c>
      <c r="T229" s="21">
        <f t="shared" si="35"/>
        <v>0.50512787749055854</v>
      </c>
    </row>
    <row r="230" spans="1:20" x14ac:dyDescent="0.3">
      <c r="A230" s="7" t="s">
        <v>236</v>
      </c>
      <c r="B230" s="7" t="s">
        <v>259</v>
      </c>
      <c r="C230" s="19">
        <v>839896</v>
      </c>
      <c r="D230" s="15">
        <v>0.19</v>
      </c>
      <c r="E230" s="18">
        <f t="shared" si="36"/>
        <v>680315.76</v>
      </c>
      <c r="F230" s="19">
        <f>Cost_Drivers!B230*Finance_Assumptions!$B$4</f>
        <v>38500</v>
      </c>
      <c r="G230" s="19">
        <f>Cost_Drivers!C230*Finance_Assumptions!$B$5</f>
        <v>97600</v>
      </c>
      <c r="H230" s="19">
        <f>Cost_Drivers!D230*Finance_Assumptions!$B$6</f>
        <v>73750</v>
      </c>
      <c r="I230" s="19">
        <f>Cost_Drivers!E230*Finance_Assumptions!$B$7</f>
        <v>36540</v>
      </c>
      <c r="J230" s="19">
        <f t="shared" si="37"/>
        <v>246390</v>
      </c>
      <c r="K230" s="19">
        <f t="shared" si="30"/>
        <v>89605.939938751486</v>
      </c>
      <c r="L230" s="24">
        <f t="shared" si="31"/>
        <v>1.0524116026694287E-3</v>
      </c>
      <c r="M230" s="20">
        <f t="shared" si="38"/>
        <v>42096.464106777152</v>
      </c>
      <c r="N230" s="7">
        <f>Cost_Drivers!B230+Cost_Drivers!C230+Cost_Drivers!E230</f>
        <v>319</v>
      </c>
      <c r="P230" s="7">
        <f t="shared" si="32"/>
        <v>1.1877368957993581E-3</v>
      </c>
      <c r="Q230" s="20">
        <f t="shared" si="39"/>
        <v>47509.475831974327</v>
      </c>
      <c r="R230" s="19">
        <f t="shared" si="33"/>
        <v>344319.82006124849</v>
      </c>
      <c r="S230" s="22">
        <f t="shared" si="34"/>
        <v>0.50611765933696506</v>
      </c>
      <c r="T230" s="21">
        <f t="shared" si="35"/>
        <v>0.36217006056128992</v>
      </c>
    </row>
    <row r="231" spans="1:20" x14ac:dyDescent="0.3">
      <c r="A231" s="7" t="s">
        <v>237</v>
      </c>
      <c r="B231" s="7" t="s">
        <v>258</v>
      </c>
      <c r="C231" s="19">
        <v>585132</v>
      </c>
      <c r="D231" s="15">
        <v>0</v>
      </c>
      <c r="E231" s="18">
        <f t="shared" si="36"/>
        <v>585132</v>
      </c>
      <c r="F231" s="19">
        <f>Cost_Drivers!B231*Finance_Assumptions!$B$4</f>
        <v>22400</v>
      </c>
      <c r="G231" s="19">
        <f>Cost_Drivers!C231*Finance_Assumptions!$B$5</f>
        <v>94400</v>
      </c>
      <c r="H231" s="19">
        <f>Cost_Drivers!D231*Finance_Assumptions!$B$6</f>
        <v>9000</v>
      </c>
      <c r="I231" s="19">
        <f>Cost_Drivers!E231*Finance_Assumptions!$B$7</f>
        <v>3780</v>
      </c>
      <c r="J231" s="19">
        <f t="shared" si="37"/>
        <v>129580</v>
      </c>
      <c r="K231" s="19">
        <f t="shared" si="30"/>
        <v>52887.142349327696</v>
      </c>
      <c r="L231" s="24">
        <f t="shared" si="31"/>
        <v>9.0516748559987532E-4</v>
      </c>
      <c r="M231" s="20">
        <f t="shared" si="38"/>
        <v>36206.699423995015</v>
      </c>
      <c r="N231" s="7">
        <f>Cost_Drivers!B231+Cost_Drivers!C231+Cost_Drivers!E231</f>
        <v>112</v>
      </c>
      <c r="P231" s="7">
        <f t="shared" si="32"/>
        <v>4.1701107313331696E-4</v>
      </c>
      <c r="Q231" s="20">
        <f t="shared" si="39"/>
        <v>16680.442925332678</v>
      </c>
      <c r="R231" s="19">
        <f t="shared" si="33"/>
        <v>402664.85765067232</v>
      </c>
      <c r="S231" s="22">
        <f t="shared" si="34"/>
        <v>0.68816071869368334</v>
      </c>
      <c r="T231" s="21">
        <f t="shared" si="35"/>
        <v>0.22145430432791233</v>
      </c>
    </row>
    <row r="232" spans="1:20" x14ac:dyDescent="0.3">
      <c r="A232" s="7" t="s">
        <v>238</v>
      </c>
      <c r="B232" s="7" t="s">
        <v>258</v>
      </c>
      <c r="C232" s="19">
        <v>454620</v>
      </c>
      <c r="D232" s="15">
        <v>7.0000000000000007E-2</v>
      </c>
      <c r="E232" s="18">
        <f t="shared" si="36"/>
        <v>422796.6</v>
      </c>
      <c r="F232" s="19">
        <f>Cost_Drivers!B232*Finance_Assumptions!$B$4</f>
        <v>7000</v>
      </c>
      <c r="G232" s="19">
        <f>Cost_Drivers!C232*Finance_Assumptions!$B$5</f>
        <v>36800</v>
      </c>
      <c r="H232" s="19">
        <f>Cost_Drivers!D232*Finance_Assumptions!$B$6</f>
        <v>24000</v>
      </c>
      <c r="I232" s="19">
        <f>Cost_Drivers!E232*Finance_Assumptions!$B$7</f>
        <v>17460</v>
      </c>
      <c r="J232" s="19">
        <f t="shared" si="37"/>
        <v>85260</v>
      </c>
      <c r="K232" s="19">
        <f t="shared" si="30"/>
        <v>45522.965257733944</v>
      </c>
      <c r="L232" s="24">
        <f t="shared" si="31"/>
        <v>6.5404342155646279E-4</v>
      </c>
      <c r="M232" s="20">
        <f t="shared" si="38"/>
        <v>26161.736862258513</v>
      </c>
      <c r="N232" s="7">
        <f>Cost_Drivers!B232+Cost_Drivers!C232+Cost_Drivers!E232</f>
        <v>130</v>
      </c>
      <c r="P232" s="7">
        <f t="shared" si="32"/>
        <v>4.8403070988688575E-4</v>
      </c>
      <c r="Q232" s="20">
        <f t="shared" si="39"/>
        <v>19361.228395475431</v>
      </c>
      <c r="R232" s="19">
        <f t="shared" si="33"/>
        <v>292013.63474226603</v>
      </c>
      <c r="S232" s="22">
        <f t="shared" si="34"/>
        <v>0.69067167224681103</v>
      </c>
      <c r="T232" s="21">
        <f t="shared" si="35"/>
        <v>0.20165725079151536</v>
      </c>
    </row>
    <row r="233" spans="1:20" x14ac:dyDescent="0.3">
      <c r="A233" s="7" t="s">
        <v>239</v>
      </c>
      <c r="B233" s="7" t="s">
        <v>258</v>
      </c>
      <c r="C233" s="19">
        <v>486642</v>
      </c>
      <c r="D233" s="15">
        <v>0.02</v>
      </c>
      <c r="E233" s="18">
        <f t="shared" si="36"/>
        <v>476909.16</v>
      </c>
      <c r="F233" s="19">
        <f>Cost_Drivers!B233*Finance_Assumptions!$B$4</f>
        <v>10500</v>
      </c>
      <c r="G233" s="19">
        <f>Cost_Drivers!C233*Finance_Assumptions!$B$5</f>
        <v>166400</v>
      </c>
      <c r="H233" s="19">
        <f>Cost_Drivers!D233*Finance_Assumptions!$B$6</f>
        <v>19000</v>
      </c>
      <c r="I233" s="19">
        <f>Cost_Drivers!E233*Finance_Assumptions!$B$7</f>
        <v>13860</v>
      </c>
      <c r="J233" s="19">
        <f t="shared" si="37"/>
        <v>209760</v>
      </c>
      <c r="K233" s="19">
        <f t="shared" si="30"/>
        <v>58700.879862654969</v>
      </c>
      <c r="L233" s="24">
        <f t="shared" si="31"/>
        <v>7.3775261858306947E-4</v>
      </c>
      <c r="M233" s="20">
        <f t="shared" si="38"/>
        <v>29510.10474332278</v>
      </c>
      <c r="N233" s="7">
        <f>Cost_Drivers!B233+Cost_Drivers!C233+Cost_Drivers!E233</f>
        <v>196</v>
      </c>
      <c r="P233" s="7">
        <f t="shared" si="32"/>
        <v>7.2976937798330472E-4</v>
      </c>
      <c r="Q233" s="20">
        <f t="shared" si="39"/>
        <v>29190.775119332189</v>
      </c>
      <c r="R233" s="19">
        <f t="shared" si="33"/>
        <v>208448.28013734502</v>
      </c>
      <c r="S233" s="22">
        <f t="shared" si="34"/>
        <v>0.43708172880836477</v>
      </c>
      <c r="T233" s="21">
        <f t="shared" si="35"/>
        <v>0.43983218942575986</v>
      </c>
    </row>
    <row r="234" spans="1:20" x14ac:dyDescent="0.3">
      <c r="A234" s="7" t="s">
        <v>240</v>
      </c>
      <c r="B234" s="7" t="s">
        <v>260</v>
      </c>
      <c r="C234" s="19">
        <v>4739032</v>
      </c>
      <c r="D234" s="15">
        <v>0.27</v>
      </c>
      <c r="E234" s="18">
        <f t="shared" si="36"/>
        <v>3459493.36</v>
      </c>
      <c r="F234" s="19">
        <f>Cost_Drivers!B234*Finance_Assumptions!$B$4</f>
        <v>102200</v>
      </c>
      <c r="G234" s="19">
        <f>Cost_Drivers!C234*Finance_Assumptions!$B$5</f>
        <v>1580800</v>
      </c>
      <c r="H234" s="19">
        <f>Cost_Drivers!D234*Finance_Assumptions!$B$6</f>
        <v>217250</v>
      </c>
      <c r="I234" s="19">
        <f>Cost_Drivers!E234*Finance_Assumptions!$B$7</f>
        <v>466920</v>
      </c>
      <c r="J234" s="19">
        <f t="shared" si="37"/>
        <v>2367170</v>
      </c>
      <c r="K234" s="19">
        <f t="shared" si="30"/>
        <v>769286.40530289814</v>
      </c>
      <c r="L234" s="24">
        <f t="shared" si="31"/>
        <v>5.3516486982777625E-3</v>
      </c>
      <c r="M234" s="20">
        <f t="shared" si="38"/>
        <v>214065.94793111051</v>
      </c>
      <c r="N234" s="7">
        <f>Cost_Drivers!B234+Cost_Drivers!C234+Cost_Drivers!E234</f>
        <v>3728</v>
      </c>
      <c r="P234" s="7">
        <f t="shared" si="32"/>
        <v>1.3880511434294692E-2</v>
      </c>
      <c r="Q234" s="20">
        <f t="shared" si="39"/>
        <v>555220.45737178763</v>
      </c>
      <c r="R234" s="19">
        <f t="shared" si="33"/>
        <v>323036.95469710173</v>
      </c>
      <c r="S234" s="22">
        <f t="shared" si="34"/>
        <v>9.3376954681335694E-2</v>
      </c>
      <c r="T234" s="21">
        <f t="shared" si="35"/>
        <v>0.6842533728696043</v>
      </c>
    </row>
    <row r="235" spans="1:20" x14ac:dyDescent="0.3">
      <c r="A235" s="7" t="s">
        <v>241</v>
      </c>
      <c r="B235" s="7" t="s">
        <v>258</v>
      </c>
      <c r="C235" s="19">
        <v>354643</v>
      </c>
      <c r="D235" s="15">
        <v>0.04</v>
      </c>
      <c r="E235" s="18">
        <f t="shared" si="36"/>
        <v>340457.27999999997</v>
      </c>
      <c r="F235" s="19">
        <f>Cost_Drivers!B235*Finance_Assumptions!$B$4</f>
        <v>12600</v>
      </c>
      <c r="G235" s="19">
        <f>Cost_Drivers!C235*Finance_Assumptions!$B$5</f>
        <v>179200</v>
      </c>
      <c r="H235" s="19">
        <f>Cost_Drivers!D235*Finance_Assumptions!$B$6</f>
        <v>9250</v>
      </c>
      <c r="I235" s="19">
        <f>Cost_Drivers!E235*Finance_Assumptions!$B$7</f>
        <v>12060</v>
      </c>
      <c r="J235" s="19">
        <f t="shared" si="37"/>
        <v>213110</v>
      </c>
      <c r="K235" s="19">
        <f t="shared" si="30"/>
        <v>50406.465921653704</v>
      </c>
      <c r="L235" s="24">
        <f t="shared" si="31"/>
        <v>5.2666895690506191E-4</v>
      </c>
      <c r="M235" s="20">
        <f t="shared" si="38"/>
        <v>21066.758276202476</v>
      </c>
      <c r="N235" s="7">
        <f>Cost_Drivers!B235+Cost_Drivers!C235+Cost_Drivers!E235</f>
        <v>197</v>
      </c>
      <c r="P235" s="7">
        <f t="shared" si="32"/>
        <v>7.3349269113628067E-4</v>
      </c>
      <c r="Q235" s="20">
        <f t="shared" si="39"/>
        <v>29339.707645451228</v>
      </c>
      <c r="R235" s="19">
        <f t="shared" si="33"/>
        <v>76940.814078346273</v>
      </c>
      <c r="S235" s="22">
        <f t="shared" si="34"/>
        <v>0.22599256528850339</v>
      </c>
      <c r="T235" s="21">
        <f t="shared" si="35"/>
        <v>0.62595224869328692</v>
      </c>
    </row>
    <row r="236" spans="1:20" x14ac:dyDescent="0.3">
      <c r="A236" s="7" t="s">
        <v>242</v>
      </c>
      <c r="B236" s="7" t="s">
        <v>259</v>
      </c>
      <c r="C236" s="19">
        <v>2428760</v>
      </c>
      <c r="D236" s="15">
        <v>7.0000000000000007E-2</v>
      </c>
      <c r="E236" s="18">
        <f t="shared" si="36"/>
        <v>2258746.7999999998</v>
      </c>
      <c r="F236" s="19">
        <f>Cost_Drivers!B236*Finance_Assumptions!$B$4</f>
        <v>36400</v>
      </c>
      <c r="G236" s="19">
        <f>Cost_Drivers!C236*Finance_Assumptions!$B$5</f>
        <v>316800</v>
      </c>
      <c r="H236" s="19">
        <f>Cost_Drivers!D236*Finance_Assumptions!$B$6</f>
        <v>26250</v>
      </c>
      <c r="I236" s="19">
        <f>Cost_Drivers!E236*Finance_Assumptions!$B$7</f>
        <v>74700</v>
      </c>
      <c r="J236" s="19">
        <f t="shared" si="37"/>
        <v>454150</v>
      </c>
      <c r="K236" s="19">
        <f t="shared" si="30"/>
        <v>238806.48423452061</v>
      </c>
      <c r="L236" s="24">
        <f t="shared" si="31"/>
        <v>3.4941588591339461E-3</v>
      </c>
      <c r="M236" s="20">
        <f t="shared" si="38"/>
        <v>139766.35436535784</v>
      </c>
      <c r="N236" s="7">
        <f>Cost_Drivers!B236+Cost_Drivers!C236+Cost_Drivers!E236</f>
        <v>665</v>
      </c>
      <c r="P236" s="7">
        <f t="shared" si="32"/>
        <v>2.4760032467290695E-3</v>
      </c>
      <c r="Q236" s="20">
        <f t="shared" si="39"/>
        <v>99040.129869162774</v>
      </c>
      <c r="R236" s="19">
        <f t="shared" si="33"/>
        <v>1565790.3157654791</v>
      </c>
      <c r="S236" s="22">
        <f t="shared" si="34"/>
        <v>0.69321196858606693</v>
      </c>
      <c r="T236" s="21">
        <f t="shared" si="35"/>
        <v>0.20106281943598106</v>
      </c>
    </row>
    <row r="237" spans="1:20" x14ac:dyDescent="0.3">
      <c r="A237" s="7" t="s">
        <v>243</v>
      </c>
      <c r="B237" s="7" t="s">
        <v>260</v>
      </c>
      <c r="C237" s="19">
        <v>13617578</v>
      </c>
      <c r="D237" s="15">
        <v>0.25</v>
      </c>
      <c r="E237" s="18">
        <f t="shared" si="36"/>
        <v>10213183.5</v>
      </c>
      <c r="F237" s="19">
        <f>Cost_Drivers!B237*Finance_Assumptions!$B$4</f>
        <v>100100</v>
      </c>
      <c r="G237" s="19">
        <f>Cost_Drivers!C237*Finance_Assumptions!$B$5</f>
        <v>1838400</v>
      </c>
      <c r="H237" s="19">
        <f>Cost_Drivers!D237*Finance_Assumptions!$B$6</f>
        <v>366750</v>
      </c>
      <c r="I237" s="19">
        <f>Cost_Drivers!E237*Finance_Assumptions!$B$7</f>
        <v>245520</v>
      </c>
      <c r="J237" s="19">
        <f t="shared" si="37"/>
        <v>2550770</v>
      </c>
      <c r="K237" s="19">
        <f t="shared" si="30"/>
        <v>1027534.4392060677</v>
      </c>
      <c r="L237" s="24">
        <f t="shared" si="31"/>
        <v>1.579924124584732E-2</v>
      </c>
      <c r="M237" s="20">
        <f t="shared" si="38"/>
        <v>631969.64983389282</v>
      </c>
      <c r="N237" s="7">
        <f>Cost_Drivers!B237+Cost_Drivers!C237+Cost_Drivers!E237</f>
        <v>2656</v>
      </c>
      <c r="P237" s="7">
        <f t="shared" si="32"/>
        <v>9.8891197343043725E-3</v>
      </c>
      <c r="Q237" s="20">
        <f t="shared" si="39"/>
        <v>395564.78937217488</v>
      </c>
      <c r="R237" s="19">
        <f t="shared" si="33"/>
        <v>6634879.0607939325</v>
      </c>
      <c r="S237" s="22">
        <f t="shared" si="34"/>
        <v>0.64963868129794522</v>
      </c>
      <c r="T237" s="21">
        <f t="shared" si="35"/>
        <v>0.24975268485090862</v>
      </c>
    </row>
    <row r="238" spans="1:20" x14ac:dyDescent="0.3">
      <c r="A238" s="7" t="s">
        <v>244</v>
      </c>
      <c r="B238" s="7" t="s">
        <v>258</v>
      </c>
      <c r="C238" s="19">
        <v>253407</v>
      </c>
      <c r="D238" s="15">
        <v>0.02</v>
      </c>
      <c r="E238" s="18">
        <f t="shared" si="36"/>
        <v>248338.86</v>
      </c>
      <c r="F238" s="19">
        <f>Cost_Drivers!B238*Finance_Assumptions!$B$4</f>
        <v>15400</v>
      </c>
      <c r="G238" s="19">
        <f>Cost_Drivers!C238*Finance_Assumptions!$B$5</f>
        <v>164800</v>
      </c>
      <c r="H238" s="19">
        <f>Cost_Drivers!D238*Finance_Assumptions!$B$6</f>
        <v>21000</v>
      </c>
      <c r="I238" s="19">
        <f>Cost_Drivers!E238*Finance_Assumptions!$B$7</f>
        <v>10080</v>
      </c>
      <c r="J238" s="19">
        <f t="shared" si="37"/>
        <v>211280</v>
      </c>
      <c r="K238" s="19">
        <f t="shared" si="30"/>
        <v>42323.45741362009</v>
      </c>
      <c r="L238" s="24">
        <f t="shared" si="31"/>
        <v>3.8416675465183827E-4</v>
      </c>
      <c r="M238" s="20">
        <f t="shared" si="38"/>
        <v>15366.67018607353</v>
      </c>
      <c r="N238" s="7">
        <f>Cost_Drivers!B238+Cost_Drivers!C238+Cost_Drivers!E238</f>
        <v>181</v>
      </c>
      <c r="P238" s="7">
        <f t="shared" si="32"/>
        <v>6.73919680688664E-4</v>
      </c>
      <c r="Q238" s="20">
        <f t="shared" si="39"/>
        <v>26956.78722754656</v>
      </c>
      <c r="R238" s="19">
        <f t="shared" si="33"/>
        <v>-5264.5974136201039</v>
      </c>
      <c r="S238" s="22">
        <f t="shared" si="34"/>
        <v>-2.1199249338666144E-2</v>
      </c>
      <c r="T238" s="21">
        <f t="shared" si="35"/>
        <v>0.85077301232678615</v>
      </c>
    </row>
    <row r="239" spans="1:20" x14ac:dyDescent="0.3">
      <c r="A239" s="7" t="s">
        <v>245</v>
      </c>
      <c r="B239" s="7" t="s">
        <v>258</v>
      </c>
      <c r="C239" s="19">
        <v>191856</v>
      </c>
      <c r="D239" s="15">
        <v>0.01</v>
      </c>
      <c r="E239" s="18">
        <f t="shared" si="36"/>
        <v>189937.44</v>
      </c>
      <c r="F239" s="19">
        <f>Cost_Drivers!B239*Finance_Assumptions!$B$4</f>
        <v>16800</v>
      </c>
      <c r="G239" s="19">
        <f>Cost_Drivers!C239*Finance_Assumptions!$B$5</f>
        <v>81600</v>
      </c>
      <c r="H239" s="19">
        <f>Cost_Drivers!D239*Finance_Assumptions!$B$6</f>
        <v>5500</v>
      </c>
      <c r="I239" s="19">
        <f>Cost_Drivers!E239*Finance_Assumptions!$B$7</f>
        <v>3960</v>
      </c>
      <c r="J239" s="19">
        <f t="shared" si="37"/>
        <v>107860</v>
      </c>
      <c r="K239" s="19">
        <f t="shared" si="30"/>
        <v>26199.371981249598</v>
      </c>
      <c r="L239" s="24">
        <f t="shared" si="31"/>
        <v>2.9382292369256369E-4</v>
      </c>
      <c r="M239" s="20">
        <f t="shared" si="38"/>
        <v>11752.916947702548</v>
      </c>
      <c r="N239" s="7">
        <f>Cost_Drivers!B239+Cost_Drivers!C239+Cost_Drivers!E239</f>
        <v>97</v>
      </c>
      <c r="P239" s="7">
        <f t="shared" si="32"/>
        <v>3.611613758386763E-4</v>
      </c>
      <c r="Q239" s="20">
        <f t="shared" si="39"/>
        <v>14446.455033547052</v>
      </c>
      <c r="R239" s="19">
        <f t="shared" si="33"/>
        <v>55878.068018750404</v>
      </c>
      <c r="S239" s="22">
        <f t="shared" si="34"/>
        <v>0.29419196140976944</v>
      </c>
      <c r="T239" s="21">
        <f t="shared" si="35"/>
        <v>0.56787118958747684</v>
      </c>
    </row>
    <row r="240" spans="1:20" x14ac:dyDescent="0.3">
      <c r="A240" s="7" t="s">
        <v>246</v>
      </c>
      <c r="B240" s="7" t="s">
        <v>258</v>
      </c>
      <c r="C240" s="19">
        <v>472155</v>
      </c>
      <c r="D240" s="15">
        <v>0.01</v>
      </c>
      <c r="E240" s="18">
        <f t="shared" si="36"/>
        <v>467433.45</v>
      </c>
      <c r="F240" s="19">
        <f>Cost_Drivers!B240*Finance_Assumptions!$B$4</f>
        <v>10500</v>
      </c>
      <c r="G240" s="19">
        <f>Cost_Drivers!C240*Finance_Assumptions!$B$5</f>
        <v>153600</v>
      </c>
      <c r="H240" s="19">
        <f>Cost_Drivers!D240*Finance_Assumptions!$B$6</f>
        <v>16750</v>
      </c>
      <c r="I240" s="19">
        <f>Cost_Drivers!E240*Finance_Assumptions!$B$7</f>
        <v>5940</v>
      </c>
      <c r="J240" s="19">
        <f t="shared" si="37"/>
        <v>186790</v>
      </c>
      <c r="K240" s="19">
        <f t="shared" si="30"/>
        <v>50370.052115754312</v>
      </c>
      <c r="L240" s="24">
        <f t="shared" si="31"/>
        <v>7.230942088653074E-4</v>
      </c>
      <c r="M240" s="20">
        <f t="shared" si="38"/>
        <v>28923.768354612297</v>
      </c>
      <c r="N240" s="7">
        <f>Cost_Drivers!B240+Cost_Drivers!C240+Cost_Drivers!E240</f>
        <v>144</v>
      </c>
      <c r="P240" s="7">
        <f t="shared" si="32"/>
        <v>5.3615709402855035E-4</v>
      </c>
      <c r="Q240" s="20">
        <f t="shared" si="39"/>
        <v>21446.283761142015</v>
      </c>
      <c r="R240" s="19">
        <f t="shared" si="33"/>
        <v>230273.3978842457</v>
      </c>
      <c r="S240" s="22">
        <f t="shared" si="34"/>
        <v>0.4926335457683777</v>
      </c>
      <c r="T240" s="21">
        <f t="shared" si="35"/>
        <v>0.39960768746866532</v>
      </c>
    </row>
    <row r="241" spans="1:20" x14ac:dyDescent="0.3">
      <c r="A241" s="7" t="s">
        <v>247</v>
      </c>
      <c r="B241" s="7" t="s">
        <v>258</v>
      </c>
      <c r="C241" s="19">
        <v>123106</v>
      </c>
      <c r="D241" s="15">
        <v>0.1</v>
      </c>
      <c r="E241" s="18">
        <f t="shared" si="36"/>
        <v>110795.40000000001</v>
      </c>
      <c r="F241" s="19">
        <f>Cost_Drivers!B241*Finance_Assumptions!$B$4</f>
        <v>25200</v>
      </c>
      <c r="G241" s="19">
        <f>Cost_Drivers!C241*Finance_Assumptions!$B$5</f>
        <v>185600</v>
      </c>
      <c r="H241" s="19">
        <f>Cost_Drivers!D241*Finance_Assumptions!$B$6</f>
        <v>12250</v>
      </c>
      <c r="I241" s="19">
        <f>Cost_Drivers!E241*Finance_Assumptions!$B$7</f>
        <v>9900</v>
      </c>
      <c r="J241" s="19">
        <f t="shared" si="37"/>
        <v>232950</v>
      </c>
      <c r="K241" s="19">
        <f t="shared" si="30"/>
        <v>37684.812022057144</v>
      </c>
      <c r="L241" s="24">
        <f t="shared" si="31"/>
        <v>1.7139447788538727E-4</v>
      </c>
      <c r="M241" s="20">
        <f t="shared" si="38"/>
        <v>6855.7791154154911</v>
      </c>
      <c r="N241" s="7">
        <f>Cost_Drivers!B241+Cost_Drivers!C241+Cost_Drivers!E241</f>
        <v>207</v>
      </c>
      <c r="P241" s="7">
        <f t="shared" si="32"/>
        <v>7.7072582266604118E-4</v>
      </c>
      <c r="Q241" s="20">
        <f t="shared" si="39"/>
        <v>30829.032906641649</v>
      </c>
      <c r="R241" s="19">
        <f t="shared" si="33"/>
        <v>-159839.41202205713</v>
      </c>
      <c r="S241" s="22">
        <f t="shared" si="34"/>
        <v>-1.4426538648902132</v>
      </c>
      <c r="T241" s="21">
        <f t="shared" si="35"/>
        <v>2.1025241120118703</v>
      </c>
    </row>
    <row r="242" spans="1:20" x14ac:dyDescent="0.3">
      <c r="A242" s="7" t="s">
        <v>248</v>
      </c>
      <c r="B242" s="7" t="s">
        <v>258</v>
      </c>
      <c r="C242" s="19">
        <v>560108</v>
      </c>
      <c r="D242" s="15">
        <v>0.08</v>
      </c>
      <c r="E242" s="18">
        <f t="shared" si="36"/>
        <v>515299.36000000004</v>
      </c>
      <c r="F242" s="19">
        <f>Cost_Drivers!B242*Finance_Assumptions!$B$4</f>
        <v>10500</v>
      </c>
      <c r="G242" s="19">
        <f>Cost_Drivers!C242*Finance_Assumptions!$B$5</f>
        <v>121600</v>
      </c>
      <c r="H242" s="19">
        <f>Cost_Drivers!D242*Finance_Assumptions!$B$6</f>
        <v>13000</v>
      </c>
      <c r="I242" s="19">
        <f>Cost_Drivers!E242*Finance_Assumptions!$B$7</f>
        <v>5580</v>
      </c>
      <c r="J242" s="19">
        <f t="shared" si="37"/>
        <v>150680</v>
      </c>
      <c r="K242" s="19">
        <f t="shared" si="30"/>
        <v>50055.375264749891</v>
      </c>
      <c r="L242" s="24">
        <f t="shared" si="31"/>
        <v>7.9714017695566985E-4</v>
      </c>
      <c r="M242" s="20">
        <f t="shared" si="38"/>
        <v>31885.607078226793</v>
      </c>
      <c r="N242" s="7">
        <f>Cost_Drivers!B242+Cost_Drivers!C242+Cost_Drivers!E242</f>
        <v>122</v>
      </c>
      <c r="P242" s="7">
        <f t="shared" si="32"/>
        <v>4.5424420466307742E-4</v>
      </c>
      <c r="Q242" s="20">
        <f t="shared" si="39"/>
        <v>18169.768186523095</v>
      </c>
      <c r="R242" s="19">
        <f t="shared" si="33"/>
        <v>314563.98473525012</v>
      </c>
      <c r="S242" s="22">
        <f t="shared" si="34"/>
        <v>0.61044901110540895</v>
      </c>
      <c r="T242" s="21">
        <f t="shared" si="35"/>
        <v>0.29241255025040197</v>
      </c>
    </row>
    <row r="243" spans="1:20" x14ac:dyDescent="0.3">
      <c r="A243" s="7" t="s">
        <v>249</v>
      </c>
      <c r="B243" s="7" t="s">
        <v>259</v>
      </c>
      <c r="C243" s="19">
        <v>949709</v>
      </c>
      <c r="D243" s="15">
        <v>0.11</v>
      </c>
      <c r="E243" s="18">
        <f t="shared" si="36"/>
        <v>845241.01</v>
      </c>
      <c r="F243" s="19">
        <f>Cost_Drivers!B243*Finance_Assumptions!$B$4</f>
        <v>17500</v>
      </c>
      <c r="G243" s="19">
        <f>Cost_Drivers!C243*Finance_Assumptions!$B$5</f>
        <v>470400</v>
      </c>
      <c r="H243" s="19">
        <f>Cost_Drivers!D243*Finance_Assumptions!$B$6</f>
        <v>42500</v>
      </c>
      <c r="I243" s="19">
        <f>Cost_Drivers!E243*Finance_Assumptions!$B$7</f>
        <v>104040</v>
      </c>
      <c r="J243" s="19">
        <f t="shared" si="37"/>
        <v>634440</v>
      </c>
      <c r="K243" s="19">
        <f t="shared" si="30"/>
        <v>185894.15689974764</v>
      </c>
      <c r="L243" s="24">
        <f t="shared" si="31"/>
        <v>1.3075420242741793E-3</v>
      </c>
      <c r="M243" s="20">
        <f t="shared" si="38"/>
        <v>52301.680970967172</v>
      </c>
      <c r="N243" s="7">
        <f>Cost_Drivers!B243+Cost_Drivers!C243+Cost_Drivers!E243</f>
        <v>897</v>
      </c>
      <c r="P243" s="7">
        <f t="shared" si="32"/>
        <v>3.3398118982195116E-3</v>
      </c>
      <c r="Q243" s="20">
        <f t="shared" si="39"/>
        <v>133592.47592878048</v>
      </c>
      <c r="R243" s="19">
        <f t="shared" si="33"/>
        <v>24906.853100252367</v>
      </c>
      <c r="S243" s="22">
        <f t="shared" si="34"/>
        <v>2.9467161206780969E-2</v>
      </c>
      <c r="T243" s="21">
        <f t="shared" si="35"/>
        <v>0.75060248200687751</v>
      </c>
    </row>
    <row r="244" spans="1:20" x14ac:dyDescent="0.3">
      <c r="A244" s="7" t="s">
        <v>250</v>
      </c>
      <c r="B244" s="7" t="s">
        <v>259</v>
      </c>
      <c r="C244" s="19">
        <v>2483733</v>
      </c>
      <c r="D244" s="15">
        <v>0.08</v>
      </c>
      <c r="E244" s="18">
        <f t="shared" si="36"/>
        <v>2285034.36</v>
      </c>
      <c r="F244" s="19">
        <f>Cost_Drivers!B244*Finance_Assumptions!$B$4</f>
        <v>44100</v>
      </c>
      <c r="G244" s="19">
        <f>Cost_Drivers!C244*Finance_Assumptions!$B$5</f>
        <v>89600</v>
      </c>
      <c r="H244" s="19">
        <f>Cost_Drivers!D244*Finance_Assumptions!$B$6</f>
        <v>97000</v>
      </c>
      <c r="I244" s="19">
        <f>Cost_Drivers!E244*Finance_Assumptions!$B$7</f>
        <v>89100</v>
      </c>
      <c r="J244" s="19">
        <f t="shared" si="37"/>
        <v>319800</v>
      </c>
      <c r="K244" s="19">
        <f t="shared" si="30"/>
        <v>232837.54261618969</v>
      </c>
      <c r="L244" s="24">
        <f t="shared" si="31"/>
        <v>3.5348242894774513E-3</v>
      </c>
      <c r="M244" s="20">
        <f t="shared" si="38"/>
        <v>141392.97157909806</v>
      </c>
      <c r="N244" s="7">
        <f>Cost_Drivers!B244+Cost_Drivers!C244+Cost_Drivers!E244</f>
        <v>614</v>
      </c>
      <c r="P244" s="7">
        <f t="shared" si="32"/>
        <v>2.2861142759272911E-3</v>
      </c>
      <c r="Q244" s="20">
        <f t="shared" si="39"/>
        <v>91444.571037091649</v>
      </c>
      <c r="R244" s="19">
        <f t="shared" si="33"/>
        <v>1732396.8173838102</v>
      </c>
      <c r="S244" s="22">
        <f t="shared" si="34"/>
        <v>0.75814913233243908</v>
      </c>
      <c r="T244" s="21">
        <f t="shared" si="35"/>
        <v>0.13995413180570293</v>
      </c>
    </row>
    <row r="245" spans="1:20" x14ac:dyDescent="0.3">
      <c r="A245" s="7" t="s">
        <v>251</v>
      </c>
      <c r="B245" s="7" t="s">
        <v>259</v>
      </c>
      <c r="C245" s="19">
        <v>1813666</v>
      </c>
      <c r="D245" s="15">
        <v>0.13</v>
      </c>
      <c r="E245" s="18">
        <f t="shared" si="36"/>
        <v>1577889.42</v>
      </c>
      <c r="F245" s="19">
        <f>Cost_Drivers!B245*Finance_Assumptions!$B$4</f>
        <v>54600</v>
      </c>
      <c r="G245" s="19">
        <f>Cost_Drivers!C245*Finance_Assumptions!$B$5</f>
        <v>412800</v>
      </c>
      <c r="H245" s="19">
        <f>Cost_Drivers!D245*Finance_Assumptions!$B$6</f>
        <v>51000</v>
      </c>
      <c r="I245" s="19">
        <f>Cost_Drivers!E245*Finance_Assumptions!$B$7</f>
        <v>32760</v>
      </c>
      <c r="J245" s="19">
        <f t="shared" si="37"/>
        <v>551160</v>
      </c>
      <c r="K245" s="19">
        <f t="shared" si="30"/>
        <v>174783.42451703368</v>
      </c>
      <c r="L245" s="24">
        <f t="shared" si="31"/>
        <v>2.4409093996842516E-3</v>
      </c>
      <c r="M245" s="20">
        <f t="shared" si="38"/>
        <v>97636.375987370062</v>
      </c>
      <c r="N245" s="7">
        <f>Cost_Drivers!B245+Cost_Drivers!C245+Cost_Drivers!E245</f>
        <v>518</v>
      </c>
      <c r="P245" s="7">
        <f t="shared" si="32"/>
        <v>1.9286762132415909E-3</v>
      </c>
      <c r="Q245" s="20">
        <f t="shared" si="39"/>
        <v>77147.048529663633</v>
      </c>
      <c r="R245" s="19">
        <f t="shared" si="33"/>
        <v>851945.9954829663</v>
      </c>
      <c r="S245" s="22">
        <f t="shared" si="34"/>
        <v>0.53992756696661692</v>
      </c>
      <c r="T245" s="21">
        <f t="shared" si="35"/>
        <v>0.34930204424591427</v>
      </c>
    </row>
    <row r="246" spans="1:20" x14ac:dyDescent="0.3">
      <c r="A246" s="7" t="s">
        <v>252</v>
      </c>
      <c r="B246" s="7" t="s">
        <v>260</v>
      </c>
      <c r="C246" s="19">
        <v>12241235</v>
      </c>
      <c r="D246" s="15">
        <v>0.16</v>
      </c>
      <c r="E246" s="18">
        <f t="shared" si="36"/>
        <v>10282637.4</v>
      </c>
      <c r="F246" s="19">
        <f>Cost_Drivers!B246*Finance_Assumptions!$B$4</f>
        <v>142800</v>
      </c>
      <c r="G246" s="19">
        <f>Cost_Drivers!C246*Finance_Assumptions!$B$5</f>
        <v>1860800</v>
      </c>
      <c r="H246" s="19">
        <f>Cost_Drivers!D246*Finance_Assumptions!$B$6</f>
        <v>222250</v>
      </c>
      <c r="I246" s="19">
        <f>Cost_Drivers!E246*Finance_Assumptions!$B$7</f>
        <v>554940</v>
      </c>
      <c r="J246" s="19">
        <f t="shared" si="37"/>
        <v>2780790</v>
      </c>
      <c r="K246" s="19">
        <f t="shared" si="30"/>
        <v>1299017.0477994152</v>
      </c>
      <c r="L246" s="24">
        <f t="shared" si="31"/>
        <v>1.5906682664241983E-2</v>
      </c>
      <c r="M246" s="20">
        <f t="shared" si="38"/>
        <v>636267.30656967929</v>
      </c>
      <c r="N246" s="7">
        <f>Cost_Drivers!B246+Cost_Drivers!C246+Cost_Drivers!E246</f>
        <v>4450</v>
      </c>
      <c r="P246" s="7">
        <f t="shared" si="32"/>
        <v>1.6568743530743398E-2</v>
      </c>
      <c r="Q246" s="20">
        <f t="shared" si="39"/>
        <v>662749.7412297359</v>
      </c>
      <c r="R246" s="19">
        <f t="shared" si="33"/>
        <v>6202830.3522005854</v>
      </c>
      <c r="S246" s="22">
        <f t="shared" si="34"/>
        <v>0.60323340315399876</v>
      </c>
      <c r="T246" s="21">
        <f t="shared" si="35"/>
        <v>0.27043548185410099</v>
      </c>
    </row>
    <row r="247" spans="1:20" x14ac:dyDescent="0.3">
      <c r="A247" s="7" t="s">
        <v>253</v>
      </c>
      <c r="B247" s="7" t="s">
        <v>258</v>
      </c>
      <c r="C247" s="19">
        <v>148049</v>
      </c>
      <c r="D247" s="15">
        <v>0.1</v>
      </c>
      <c r="E247" s="18">
        <f t="shared" si="36"/>
        <v>133244.1</v>
      </c>
      <c r="F247" s="19">
        <f>Cost_Drivers!B247*Finance_Assumptions!$B$4</f>
        <v>25900</v>
      </c>
      <c r="G247" s="19">
        <f>Cost_Drivers!C247*Finance_Assumptions!$B$5</f>
        <v>124800</v>
      </c>
      <c r="H247" s="19">
        <f>Cost_Drivers!D247*Finance_Assumptions!$B$6</f>
        <v>6000</v>
      </c>
      <c r="I247" s="19">
        <f>Cost_Drivers!E247*Finance_Assumptions!$B$7</f>
        <v>6660</v>
      </c>
      <c r="J247" s="19">
        <f t="shared" si="37"/>
        <v>163360</v>
      </c>
      <c r="K247" s="19">
        <f t="shared" si="30"/>
        <v>30882.599966212721</v>
      </c>
      <c r="L247" s="24">
        <f t="shared" si="31"/>
        <v>2.0612139990295924E-4</v>
      </c>
      <c r="M247" s="20">
        <f t="shared" si="38"/>
        <v>8244.8559961183691</v>
      </c>
      <c r="N247" s="7">
        <f>Cost_Drivers!B247+Cost_Drivers!C247+Cost_Drivers!E247</f>
        <v>152</v>
      </c>
      <c r="P247" s="7">
        <f t="shared" si="32"/>
        <v>5.6594359925235874E-4</v>
      </c>
      <c r="Q247" s="20">
        <f t="shared" si="39"/>
        <v>22637.743970094351</v>
      </c>
      <c r="R247" s="19">
        <f t="shared" si="33"/>
        <v>-60998.499966212716</v>
      </c>
      <c r="S247" s="22">
        <f t="shared" si="34"/>
        <v>-0.45779512913677012</v>
      </c>
      <c r="T247" s="21">
        <f t="shared" si="35"/>
        <v>1.2260205142291478</v>
      </c>
    </row>
    <row r="248" spans="1:20" x14ac:dyDescent="0.3">
      <c r="A248" s="7" t="s">
        <v>254</v>
      </c>
      <c r="B248" s="7" t="s">
        <v>260</v>
      </c>
      <c r="C248" s="19">
        <v>12204851</v>
      </c>
      <c r="D248" s="15">
        <v>0.18</v>
      </c>
      <c r="E248" s="18">
        <f t="shared" si="36"/>
        <v>10007977.82</v>
      </c>
      <c r="F248" s="19">
        <f>Cost_Drivers!B248*Finance_Assumptions!$B$4</f>
        <v>95900</v>
      </c>
      <c r="G248" s="19">
        <f>Cost_Drivers!C248*Finance_Assumptions!$B$5</f>
        <v>1766400</v>
      </c>
      <c r="H248" s="19">
        <f>Cost_Drivers!D248*Finance_Assumptions!$B$6</f>
        <v>447250</v>
      </c>
      <c r="I248" s="19">
        <f>Cost_Drivers!E248*Finance_Assumptions!$B$7</f>
        <v>153180</v>
      </c>
      <c r="J248" s="19">
        <f t="shared" si="37"/>
        <v>2462730</v>
      </c>
      <c r="K248" s="19">
        <f t="shared" si="30"/>
        <v>930838.81194200134</v>
      </c>
      <c r="L248" s="24">
        <f t="shared" si="31"/>
        <v>1.5481799182524151E-2</v>
      </c>
      <c r="M248" s="20">
        <f t="shared" si="38"/>
        <v>619271.96730096603</v>
      </c>
      <c r="N248" s="7">
        <f>Cost_Drivers!B248+Cost_Drivers!C248+Cost_Drivers!E248</f>
        <v>2092</v>
      </c>
      <c r="P248" s="7">
        <f t="shared" si="32"/>
        <v>7.7891711160258843E-3</v>
      </c>
      <c r="Q248" s="20">
        <f t="shared" si="39"/>
        <v>311566.84464103536</v>
      </c>
      <c r="R248" s="19">
        <f t="shared" si="33"/>
        <v>6614409.0080579985</v>
      </c>
      <c r="S248" s="22">
        <f t="shared" si="34"/>
        <v>0.66091363580360118</v>
      </c>
      <c r="T248" s="21">
        <f t="shared" si="35"/>
        <v>0.24607668445052569</v>
      </c>
    </row>
    <row r="249" spans="1:20" x14ac:dyDescent="0.3">
      <c r="A249" s="7" t="s">
        <v>255</v>
      </c>
      <c r="B249" s="7" t="s">
        <v>258</v>
      </c>
      <c r="C249" s="19">
        <v>249186</v>
      </c>
      <c r="D249" s="15">
        <v>0.04</v>
      </c>
      <c r="E249" s="18">
        <f t="shared" si="36"/>
        <v>239218.56</v>
      </c>
      <c r="F249" s="19">
        <f>Cost_Drivers!B249*Finance_Assumptions!$B$4</f>
        <v>7000</v>
      </c>
      <c r="G249" s="19">
        <f>Cost_Drivers!C249*Finance_Assumptions!$B$5</f>
        <v>60800</v>
      </c>
      <c r="H249" s="19">
        <f>Cost_Drivers!D249*Finance_Assumptions!$B$6</f>
        <v>25000</v>
      </c>
      <c r="I249" s="19">
        <f>Cost_Drivers!E249*Finance_Assumptions!$B$7</f>
        <v>9180</v>
      </c>
      <c r="J249" s="19">
        <f t="shared" si="37"/>
        <v>101980</v>
      </c>
      <c r="K249" s="19">
        <f t="shared" si="30"/>
        <v>29546.645883316145</v>
      </c>
      <c r="L249" s="24">
        <f t="shared" si="31"/>
        <v>3.7005814493827529E-4</v>
      </c>
      <c r="M249" s="20">
        <f t="shared" si="38"/>
        <v>14802.325797531012</v>
      </c>
      <c r="N249" s="7">
        <f>Cost_Drivers!B249+Cost_Drivers!C249+Cost_Drivers!E249</f>
        <v>99</v>
      </c>
      <c r="P249" s="7">
        <f t="shared" si="32"/>
        <v>3.6860800214462837E-4</v>
      </c>
      <c r="Q249" s="20">
        <f t="shared" si="39"/>
        <v>14744.320085785135</v>
      </c>
      <c r="R249" s="19">
        <f t="shared" si="33"/>
        <v>107691.91411668385</v>
      </c>
      <c r="S249" s="22">
        <f t="shared" si="34"/>
        <v>0.45018210174279061</v>
      </c>
      <c r="T249" s="21">
        <f t="shared" si="35"/>
        <v>0.42630471481811444</v>
      </c>
    </row>
    <row r="250" spans="1:20" x14ac:dyDescent="0.3">
      <c r="A250" s="7" t="s">
        <v>256</v>
      </c>
      <c r="B250" s="7" t="s">
        <v>258</v>
      </c>
      <c r="C250" s="19">
        <v>128117</v>
      </c>
      <c r="D250" s="15">
        <v>0.05</v>
      </c>
      <c r="E250" s="18">
        <f t="shared" si="36"/>
        <v>121711.15</v>
      </c>
      <c r="F250" s="19">
        <f>Cost_Drivers!B250*Finance_Assumptions!$B$4</f>
        <v>17500</v>
      </c>
      <c r="G250" s="19">
        <f>Cost_Drivers!C250*Finance_Assumptions!$B$5</f>
        <v>177600</v>
      </c>
      <c r="H250" s="19">
        <f>Cost_Drivers!D250*Finance_Assumptions!$B$6</f>
        <v>8250</v>
      </c>
      <c r="I250" s="19">
        <f>Cost_Drivers!E250*Finance_Assumptions!$B$7</f>
        <v>11160</v>
      </c>
      <c r="J250" s="19">
        <f t="shared" si="37"/>
        <v>214510</v>
      </c>
      <c r="K250" s="19">
        <f t="shared" si="30"/>
        <v>37019.862228471568</v>
      </c>
      <c r="L250" s="24">
        <f t="shared" si="31"/>
        <v>1.8828055142253245E-4</v>
      </c>
      <c r="M250" s="20">
        <f t="shared" si="38"/>
        <v>7531.2220569012979</v>
      </c>
      <c r="N250" s="7">
        <f>Cost_Drivers!B250+Cost_Drivers!C250+Cost_Drivers!E250</f>
        <v>198</v>
      </c>
      <c r="P250" s="7">
        <f t="shared" si="32"/>
        <v>7.3721600428925673E-4</v>
      </c>
      <c r="Q250" s="20">
        <f t="shared" si="39"/>
        <v>29488.64017157027</v>
      </c>
      <c r="R250" s="19">
        <f t="shared" si="33"/>
        <v>-129818.71222847157</v>
      </c>
      <c r="S250" s="22">
        <f t="shared" si="34"/>
        <v>-1.0666131429082018</v>
      </c>
      <c r="T250" s="21">
        <f t="shared" si="35"/>
        <v>1.7624515091674018</v>
      </c>
    </row>
    <row r="251" spans="1:20" x14ac:dyDescent="0.3">
      <c r="A251" s="7" t="s">
        <v>257</v>
      </c>
      <c r="B251" s="7" t="s">
        <v>260</v>
      </c>
      <c r="C251" s="19">
        <v>9560237</v>
      </c>
      <c r="D251" s="15">
        <v>0.33</v>
      </c>
      <c r="E251" s="18">
        <f t="shared" si="36"/>
        <v>6405358.7899999991</v>
      </c>
      <c r="F251" s="19">
        <f>Cost_Drivers!B251*Finance_Assumptions!$B$4</f>
        <v>145600</v>
      </c>
      <c r="G251" s="19">
        <f>Cost_Drivers!C251*Finance_Assumptions!$B$5</f>
        <v>739200</v>
      </c>
      <c r="H251" s="19">
        <f>Cost_Drivers!D251*Finance_Assumptions!$B$6</f>
        <v>81000</v>
      </c>
      <c r="I251" s="19">
        <f>Cost_Drivers!E251*Finance_Assumptions!$B$7</f>
        <v>114660</v>
      </c>
      <c r="J251" s="19">
        <f t="shared" si="37"/>
        <v>1080460</v>
      </c>
      <c r="K251" s="19">
        <f t="shared" si="30"/>
        <v>591004.52488583641</v>
      </c>
      <c r="L251" s="24">
        <f t="shared" si="31"/>
        <v>9.9087428312062218E-3</v>
      </c>
      <c r="M251" s="20">
        <f t="shared" si="38"/>
        <v>396349.71324824885</v>
      </c>
      <c r="N251" s="7">
        <f>Cost_Drivers!B251+Cost_Drivers!C251+Cost_Drivers!E251</f>
        <v>1307</v>
      </c>
      <c r="P251" s="7">
        <f t="shared" si="32"/>
        <v>4.8663702909396899E-3</v>
      </c>
      <c r="Q251" s="20">
        <f t="shared" si="39"/>
        <v>194654.81163758758</v>
      </c>
      <c r="R251" s="19">
        <f t="shared" si="33"/>
        <v>4733894.265114163</v>
      </c>
      <c r="S251" s="22">
        <f t="shared" si="34"/>
        <v>0.73905216246507299</v>
      </c>
      <c r="T251" s="21">
        <f t="shared" si="35"/>
        <v>0.16868063685781451</v>
      </c>
    </row>
  </sheetData>
  <autoFilter ref="B1:B251" xr:uid="{A43AA287-515B-4B98-8FE6-CDF41F3342B1}"/>
  <mergeCells count="10">
    <mergeCell ref="U5:V5"/>
    <mergeCell ref="W5:Y5"/>
    <mergeCell ref="U6:V6"/>
    <mergeCell ref="U1:Y1"/>
    <mergeCell ref="U2:V2"/>
    <mergeCell ref="W2:Y2"/>
    <mergeCell ref="U3:V3"/>
    <mergeCell ref="W3:Y3"/>
    <mergeCell ref="U4:V4"/>
    <mergeCell ref="W4:Y4"/>
  </mergeCells>
  <conditionalFormatting sqref="B2:B251">
    <cfRule type="containsText" dxfId="26" priority="5" operator="containsText" text="Enterprise">
      <formula>NOT(ISERROR(SEARCH("Enterprise",B2)))</formula>
    </cfRule>
    <cfRule type="containsText" dxfId="25" priority="6" operator="containsText" text="Mid">
      <formula>NOT(ISERROR(SEARCH("Mid",B2)))</formula>
    </cfRule>
    <cfRule type="containsText" dxfId="24" priority="7" operator="containsText" text="SMB">
      <formula>NOT(ISERROR(SEARCH("SMB",B2)))</formula>
    </cfRule>
  </conditionalFormatting>
  <conditionalFormatting sqref="R2:S251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05CE-6A54-4FAF-A174-ECBE72CF4730}">
  <dimension ref="A1:W252"/>
  <sheetViews>
    <sheetView tabSelected="1" topLeftCell="A2" zoomScale="83" zoomScaleNormal="115" workbookViewId="0">
      <pane xSplit="20" ySplit="10" topLeftCell="U12" activePane="bottomRight" state="frozen"/>
      <selection activeCell="A2" sqref="A2"/>
      <selection pane="topRight" activeCell="U2" sqref="U2"/>
      <selection pane="bottomLeft" activeCell="A12" sqref="A12"/>
      <selection pane="bottomRight" activeCell="U12" sqref="U12"/>
    </sheetView>
  </sheetViews>
  <sheetFormatPr defaultRowHeight="14.4" outlineLevelCol="1" x14ac:dyDescent="0.3"/>
  <cols>
    <col min="1" max="1" width="10.6640625" customWidth="1"/>
    <col min="2" max="2" width="25.21875" bestFit="1" customWidth="1"/>
    <col min="3" max="3" width="11.44140625" customWidth="1"/>
    <col min="4" max="4" width="15.88671875" customWidth="1"/>
    <col min="5" max="5" width="18.6640625" customWidth="1"/>
    <col min="6" max="6" width="14.44140625" customWidth="1"/>
    <col min="7" max="7" width="16.33203125" hidden="1" customWidth="1" outlineLevel="1"/>
    <col min="8" max="8" width="12" hidden="1" customWidth="1" outlineLevel="1"/>
    <col min="9" max="9" width="16.6640625" hidden="1" customWidth="1" outlineLevel="1"/>
    <col min="10" max="10" width="11.6640625" hidden="1" customWidth="1" outlineLevel="1"/>
    <col min="11" max="11" width="17.77734375" customWidth="1" collapsed="1"/>
    <col min="12" max="12" width="20.109375" customWidth="1"/>
    <col min="13" max="13" width="15.77734375" style="52" bestFit="1" customWidth="1"/>
    <col min="14" max="14" width="17.109375" style="4" customWidth="1"/>
    <col min="15" max="15" width="15.5546875" customWidth="1"/>
    <col min="16" max="16" width="10.5546875" customWidth="1"/>
    <col min="17" max="17" width="11.88671875" customWidth="1"/>
    <col min="18" max="18" width="15.77734375" customWidth="1"/>
    <col min="19" max="19" width="11.33203125" bestFit="1" customWidth="1"/>
  </cols>
  <sheetData>
    <row r="1" spans="1:23" ht="33.6" customHeight="1" thickBot="1" x14ac:dyDescent="0.35">
      <c r="K1" s="87" t="s">
        <v>564</v>
      </c>
      <c r="L1" s="88"/>
      <c r="M1" s="89"/>
      <c r="N1" s="62" t="s">
        <v>566</v>
      </c>
      <c r="O1" s="87" t="s">
        <v>567</v>
      </c>
      <c r="P1" s="88"/>
      <c r="Q1" s="88"/>
      <c r="R1" s="88"/>
      <c r="S1" s="89"/>
    </row>
    <row r="2" spans="1:23" ht="48.6" customHeight="1" x14ac:dyDescent="0.3">
      <c r="A2" s="34" t="s">
        <v>0</v>
      </c>
      <c r="B2" s="34" t="s">
        <v>1</v>
      </c>
      <c r="C2" s="34" t="s">
        <v>2</v>
      </c>
      <c r="D2" s="34" t="s">
        <v>541</v>
      </c>
      <c r="E2" s="34" t="s">
        <v>548</v>
      </c>
      <c r="F2" s="34" t="s">
        <v>549</v>
      </c>
      <c r="G2" s="34" t="s">
        <v>550</v>
      </c>
      <c r="H2" s="34" t="s">
        <v>7</v>
      </c>
      <c r="I2" s="35" t="s">
        <v>534</v>
      </c>
      <c r="J2" s="34" t="s">
        <v>533</v>
      </c>
      <c r="K2" s="54" t="s">
        <v>562</v>
      </c>
      <c r="L2" s="54" t="s">
        <v>563</v>
      </c>
      <c r="M2" s="55" t="s">
        <v>565</v>
      </c>
      <c r="N2" s="55" t="s">
        <v>565</v>
      </c>
      <c r="O2" s="59" t="s">
        <v>568</v>
      </c>
      <c r="P2" s="55" t="s">
        <v>569</v>
      </c>
      <c r="Q2" s="55" t="s">
        <v>570</v>
      </c>
      <c r="R2" s="59" t="s">
        <v>571</v>
      </c>
      <c r="S2" s="59" t="s">
        <v>565</v>
      </c>
    </row>
    <row r="3" spans="1:23" ht="15.6" x14ac:dyDescent="0.3">
      <c r="A3" s="36" t="s">
        <v>8</v>
      </c>
      <c r="B3" s="36" t="s">
        <v>273</v>
      </c>
      <c r="C3" s="36" t="s">
        <v>258</v>
      </c>
      <c r="D3" s="37">
        <v>207893.28</v>
      </c>
      <c r="E3" s="38">
        <v>-37334.008195595394</v>
      </c>
      <c r="F3" s="39">
        <v>-0.17958256368650008</v>
      </c>
      <c r="G3" s="40">
        <v>0.97227769940423281</v>
      </c>
      <c r="H3" s="41">
        <v>0.66674392505488411</v>
      </c>
      <c r="I3" s="42">
        <v>0</v>
      </c>
      <c r="J3" s="43">
        <v>0.02</v>
      </c>
      <c r="K3" s="51" t="str">
        <f>IF(D3&gt;=MEDIAN(D3:D252), "High Revenue", "Low Revenue")</f>
        <v>Low Revenue</v>
      </c>
      <c r="L3" s="51" t="str">
        <f>IF(F3&gt;=0.25, "High Profit", "Low Profit")</f>
        <v>Low Profit</v>
      </c>
      <c r="M3" s="53" t="str">
        <f>IF(AND(K3="High Revenue", L3="High Profit"), "Strategic Gold", IF(AND(K3="High Revenue", L3="Low Profit"), "Margin Diluters", IF(AND(K3="Low Revenue", L3="High Profit"), "Hidden Gems", "Value Destroyers")))</f>
        <v>Value Destroyers</v>
      </c>
      <c r="N3" s="56" t="str">
        <f>IF(G3&lt;0.4,"Low Cost",IF(G3&lt;=0.7,"Medium Cost","High Cost"))</f>
        <v>High Cost</v>
      </c>
      <c r="O3" s="33">
        <f>I3/MAX(I3:I252)</f>
        <v>0</v>
      </c>
      <c r="P3" s="57">
        <v>0.02</v>
      </c>
      <c r="Q3" s="48">
        <f>1-H3</f>
        <v>0.33325607494511589</v>
      </c>
      <c r="R3" s="60">
        <f>0.4*O3+0.3*P3+0.3*Q3</f>
        <v>0.10597682248353477</v>
      </c>
      <c r="S3" s="61" t="str">
        <f>IF(R3&lt;0.35, "Low Risk", IF(R3&lt;=0.65, "Medium Risk", "High Risk"))</f>
        <v>Low Risk</v>
      </c>
      <c r="U3" s="64"/>
    </row>
    <row r="4" spans="1:23" ht="15.6" x14ac:dyDescent="0.3">
      <c r="A4" s="36" t="s">
        <v>9</v>
      </c>
      <c r="B4" s="36" t="s">
        <v>274</v>
      </c>
      <c r="C4" s="36" t="s">
        <v>260</v>
      </c>
      <c r="D4" s="37">
        <v>6676870.9299999997</v>
      </c>
      <c r="E4" s="38">
        <v>4686907.3744105427</v>
      </c>
      <c r="F4" s="39">
        <v>0.70196165592353943</v>
      </c>
      <c r="G4" s="40">
        <v>0.1936011664074507</v>
      </c>
      <c r="H4" s="41">
        <v>0.93255925973405218</v>
      </c>
      <c r="I4" s="42">
        <v>3</v>
      </c>
      <c r="J4" s="43">
        <v>0.33</v>
      </c>
      <c r="K4" s="51" t="str">
        <f t="shared" ref="K4:K67" si="0">IF(D4&gt;=MEDIAN(D4:D253), "High Revenue", "Low Revenue")</f>
        <v>High Revenue</v>
      </c>
      <c r="L4" s="51" t="str">
        <f t="shared" ref="L4:L67" si="1">IF(F4&gt;=0.25, "High Profit", "Low Profit")</f>
        <v>High Profit</v>
      </c>
      <c r="M4" s="53" t="str">
        <f t="shared" ref="M4:M67" si="2">IF(AND(K4="High Revenue", L4="High Profit"), "Strategic Gold", IF(AND(K4="High Revenue", L4="Low Profit"), "Margin Diluters", IF(AND(K4="Low Revenue", L4="High Profit"), "Hidden Gems", "Value Destroyers")))</f>
        <v>Strategic Gold</v>
      </c>
      <c r="N4" s="56" t="str">
        <f t="shared" ref="N4:N67" si="3">IF(G4&lt;0.4,"Low Cost",IF(G4&lt;=0.7,"Medium Cost","High Cost"))</f>
        <v>Low Cost</v>
      </c>
      <c r="O4" s="33">
        <f t="shared" ref="O4:O67" si="4">I4/MAX(I4:I253)</f>
        <v>0.5</v>
      </c>
      <c r="P4" s="57">
        <v>0.33</v>
      </c>
      <c r="Q4" s="48">
        <f t="shared" ref="Q4:Q67" si="5">1-H4</f>
        <v>6.7440740265947818E-2</v>
      </c>
      <c r="R4" s="60">
        <f t="shared" ref="R4:R67" si="6">0.4*O4+0.3*P4+0.3*Q4</f>
        <v>0.31923222207978441</v>
      </c>
      <c r="S4" s="61" t="str">
        <f t="shared" ref="S4:S67" si="7">IF(R4&lt;0.35, "Low Risk", IF(R4&lt;=0.65, "Medium Risk", "High Risk"))</f>
        <v>Low Risk</v>
      </c>
      <c r="W4" s="64"/>
    </row>
    <row r="5" spans="1:23" ht="15.6" x14ac:dyDescent="0.3">
      <c r="A5" s="36" t="s">
        <v>10</v>
      </c>
      <c r="B5" s="36" t="s">
        <v>275</v>
      </c>
      <c r="C5" s="36" t="s">
        <v>258</v>
      </c>
      <c r="D5" s="37">
        <v>557922.24</v>
      </c>
      <c r="E5" s="38">
        <v>389879.73534336302</v>
      </c>
      <c r="F5" s="39">
        <v>0.69880658520327676</v>
      </c>
      <c r="G5" s="40">
        <v>0.20167685016463943</v>
      </c>
      <c r="H5" s="41">
        <v>0.59785040581145577</v>
      </c>
      <c r="I5" s="42">
        <v>5</v>
      </c>
      <c r="J5" s="43">
        <v>0.04</v>
      </c>
      <c r="K5" s="51" t="str">
        <f t="shared" si="0"/>
        <v>Low Revenue</v>
      </c>
      <c r="L5" s="51" t="str">
        <f t="shared" si="1"/>
        <v>High Profit</v>
      </c>
      <c r="M5" s="53" t="str">
        <f t="shared" si="2"/>
        <v>Hidden Gems</v>
      </c>
      <c r="N5" s="56" t="str">
        <f t="shared" si="3"/>
        <v>Low Cost</v>
      </c>
      <c r="O5" s="33">
        <f t="shared" si="4"/>
        <v>0.83333333333333337</v>
      </c>
      <c r="P5" s="57">
        <v>0.04</v>
      </c>
      <c r="Q5" s="48">
        <f t="shared" si="5"/>
        <v>0.40214959418854423</v>
      </c>
      <c r="R5" s="60">
        <f t="shared" si="6"/>
        <v>0.46597821158989666</v>
      </c>
      <c r="S5" s="61" t="str">
        <f t="shared" si="7"/>
        <v>Medium Risk</v>
      </c>
    </row>
    <row r="6" spans="1:23" ht="15.6" x14ac:dyDescent="0.3">
      <c r="A6" s="36" t="s">
        <v>11</v>
      </c>
      <c r="B6" s="36" t="s">
        <v>276</v>
      </c>
      <c r="C6" s="36" t="s">
        <v>259</v>
      </c>
      <c r="D6" s="37">
        <v>917060</v>
      </c>
      <c r="E6" s="38">
        <v>486687.09585017926</v>
      </c>
      <c r="F6" s="39">
        <v>0.53070365717638901</v>
      </c>
      <c r="G6" s="40">
        <v>0.33092709310186902</v>
      </c>
      <c r="H6" s="41">
        <v>0.81224948793688179</v>
      </c>
      <c r="I6" s="42">
        <v>1</v>
      </c>
      <c r="J6" s="43">
        <v>0.2</v>
      </c>
      <c r="K6" s="51" t="str">
        <f t="shared" si="0"/>
        <v>Low Revenue</v>
      </c>
      <c r="L6" s="51" t="str">
        <f t="shared" si="1"/>
        <v>High Profit</v>
      </c>
      <c r="M6" s="53" t="str">
        <f t="shared" si="2"/>
        <v>Hidden Gems</v>
      </c>
      <c r="N6" s="56" t="str">
        <f t="shared" si="3"/>
        <v>Low Cost</v>
      </c>
      <c r="O6" s="33">
        <f t="shared" si="4"/>
        <v>0.16666666666666666</v>
      </c>
      <c r="P6" s="57">
        <v>0.2</v>
      </c>
      <c r="Q6" s="48">
        <f t="shared" si="5"/>
        <v>0.18775051206311821</v>
      </c>
      <c r="R6" s="60">
        <f t="shared" si="6"/>
        <v>0.18299182028560212</v>
      </c>
      <c r="S6" s="61" t="str">
        <f t="shared" si="7"/>
        <v>Low Risk</v>
      </c>
    </row>
    <row r="7" spans="1:23" ht="15.6" x14ac:dyDescent="0.3">
      <c r="A7" s="36" t="s">
        <v>12</v>
      </c>
      <c r="B7" s="36" t="s">
        <v>277</v>
      </c>
      <c r="C7" s="36" t="s">
        <v>260</v>
      </c>
      <c r="D7" s="37">
        <v>4428108.46</v>
      </c>
      <c r="E7" s="38">
        <v>849448.35800689156</v>
      </c>
      <c r="F7" s="39">
        <v>0.19183097380746894</v>
      </c>
      <c r="G7" s="40">
        <v>0.6054007087260912</v>
      </c>
      <c r="H7" s="41">
        <v>0.87367592833013463</v>
      </c>
      <c r="I7" s="42">
        <v>3</v>
      </c>
      <c r="J7" s="43">
        <v>0.27</v>
      </c>
      <c r="K7" s="51" t="str">
        <f t="shared" si="0"/>
        <v>High Revenue</v>
      </c>
      <c r="L7" s="51" t="str">
        <f t="shared" si="1"/>
        <v>Low Profit</v>
      </c>
      <c r="M7" s="53" t="str">
        <f t="shared" si="2"/>
        <v>Margin Diluters</v>
      </c>
      <c r="N7" s="56" t="str">
        <f t="shared" si="3"/>
        <v>Medium Cost</v>
      </c>
      <c r="O7" s="33">
        <f t="shared" si="4"/>
        <v>0.5</v>
      </c>
      <c r="P7" s="57">
        <v>0.27</v>
      </c>
      <c r="Q7" s="48">
        <f t="shared" si="5"/>
        <v>0.12632407166986537</v>
      </c>
      <c r="R7" s="60">
        <f t="shared" si="6"/>
        <v>0.31889722150095962</v>
      </c>
      <c r="S7" s="61" t="str">
        <f t="shared" si="7"/>
        <v>Low Risk</v>
      </c>
    </row>
    <row r="8" spans="1:23" ht="15.6" x14ac:dyDescent="0.3">
      <c r="A8" s="36" t="s">
        <v>13</v>
      </c>
      <c r="B8" s="36" t="s">
        <v>278</v>
      </c>
      <c r="C8" s="36" t="s">
        <v>258</v>
      </c>
      <c r="D8" s="37">
        <v>462199.92000000004</v>
      </c>
      <c r="E8" s="38">
        <v>271617.97726835753</v>
      </c>
      <c r="F8" s="39">
        <v>0.5876634017339456</v>
      </c>
      <c r="G8" s="40">
        <v>0.30276941631664495</v>
      </c>
      <c r="H8" s="41">
        <v>0.52766648349746947</v>
      </c>
      <c r="I8" s="42">
        <v>0</v>
      </c>
      <c r="J8" s="43">
        <v>0.09</v>
      </c>
      <c r="K8" s="51" t="str">
        <f t="shared" si="0"/>
        <v>Low Revenue</v>
      </c>
      <c r="L8" s="51" t="str">
        <f t="shared" si="1"/>
        <v>High Profit</v>
      </c>
      <c r="M8" s="53" t="str">
        <f t="shared" si="2"/>
        <v>Hidden Gems</v>
      </c>
      <c r="N8" s="56" t="str">
        <f t="shared" si="3"/>
        <v>Low Cost</v>
      </c>
      <c r="O8" s="33">
        <f t="shared" si="4"/>
        <v>0</v>
      </c>
      <c r="P8" s="57">
        <v>0.09</v>
      </c>
      <c r="Q8" s="48">
        <f t="shared" si="5"/>
        <v>0.47233351650253053</v>
      </c>
      <c r="R8" s="60">
        <f t="shared" si="6"/>
        <v>0.16870005495075915</v>
      </c>
      <c r="S8" s="61" t="str">
        <f t="shared" si="7"/>
        <v>Low Risk</v>
      </c>
    </row>
    <row r="9" spans="1:23" ht="15.6" x14ac:dyDescent="0.3">
      <c r="A9" s="36" t="s">
        <v>14</v>
      </c>
      <c r="B9" s="36" t="s">
        <v>279</v>
      </c>
      <c r="C9" s="36" t="s">
        <v>260</v>
      </c>
      <c r="D9" s="37">
        <v>3071073.75</v>
      </c>
      <c r="E9" s="38">
        <v>157540.07258746657</v>
      </c>
      <c r="F9" s="39">
        <v>5.1298042773302521E-2</v>
      </c>
      <c r="G9" s="40">
        <v>0.7842566463928129</v>
      </c>
      <c r="H9" s="41">
        <v>0.90203823943095118</v>
      </c>
      <c r="I9" s="42">
        <v>1</v>
      </c>
      <c r="J9" s="43">
        <v>0.25</v>
      </c>
      <c r="K9" s="51" t="str">
        <f t="shared" si="0"/>
        <v>High Revenue</v>
      </c>
      <c r="L9" s="51" t="str">
        <f t="shared" si="1"/>
        <v>Low Profit</v>
      </c>
      <c r="M9" s="53" t="str">
        <f t="shared" si="2"/>
        <v>Margin Diluters</v>
      </c>
      <c r="N9" s="56" t="str">
        <f t="shared" si="3"/>
        <v>High Cost</v>
      </c>
      <c r="O9" s="33">
        <f t="shared" si="4"/>
        <v>0.16666666666666666</v>
      </c>
      <c r="P9" s="57">
        <v>0.25</v>
      </c>
      <c r="Q9" s="48">
        <f t="shared" si="5"/>
        <v>9.7961760569048817E-2</v>
      </c>
      <c r="R9" s="60">
        <f t="shared" si="6"/>
        <v>0.1710551948373813</v>
      </c>
      <c r="S9" s="61" t="str">
        <f t="shared" si="7"/>
        <v>Low Risk</v>
      </c>
    </row>
    <row r="10" spans="1:23" ht="15.6" x14ac:dyDescent="0.3">
      <c r="A10" s="36" t="s">
        <v>15</v>
      </c>
      <c r="B10" s="36" t="s">
        <v>280</v>
      </c>
      <c r="C10" s="36" t="s">
        <v>258</v>
      </c>
      <c r="D10" s="37">
        <v>163697.17000000001</v>
      </c>
      <c r="E10" s="38">
        <v>-82116.315481337151</v>
      </c>
      <c r="F10" s="39">
        <v>-0.50163552296803382</v>
      </c>
      <c r="G10" s="40">
        <v>1.2814515974833285</v>
      </c>
      <c r="H10" s="41">
        <v>0.54880568233805627</v>
      </c>
      <c r="I10" s="42">
        <v>0</v>
      </c>
      <c r="J10" s="43">
        <v>0.09</v>
      </c>
      <c r="K10" s="51" t="str">
        <f t="shared" si="0"/>
        <v>Low Revenue</v>
      </c>
      <c r="L10" s="51" t="str">
        <f t="shared" si="1"/>
        <v>Low Profit</v>
      </c>
      <c r="M10" s="53" t="str">
        <f t="shared" si="2"/>
        <v>Value Destroyers</v>
      </c>
      <c r="N10" s="56" t="str">
        <f t="shared" si="3"/>
        <v>High Cost</v>
      </c>
      <c r="O10" s="33">
        <f t="shared" si="4"/>
        <v>0</v>
      </c>
      <c r="P10" s="57">
        <v>0.09</v>
      </c>
      <c r="Q10" s="48">
        <f t="shared" si="5"/>
        <v>0.45119431766194373</v>
      </c>
      <c r="R10" s="60">
        <f t="shared" si="6"/>
        <v>0.16235829529858312</v>
      </c>
      <c r="S10" s="61" t="str">
        <f t="shared" si="7"/>
        <v>Low Risk</v>
      </c>
    </row>
    <row r="11" spans="1:23" ht="15.6" x14ac:dyDescent="0.3">
      <c r="A11" s="36" t="s">
        <v>16</v>
      </c>
      <c r="B11" s="36" t="s">
        <v>281</v>
      </c>
      <c r="C11" s="36" t="s">
        <v>260</v>
      </c>
      <c r="D11" s="37">
        <v>6927139.4900000002</v>
      </c>
      <c r="E11" s="38">
        <v>4908685.8013527431</v>
      </c>
      <c r="F11" s="39">
        <v>0.70861656654076455</v>
      </c>
      <c r="G11" s="40">
        <v>0.17225147576752492</v>
      </c>
      <c r="H11" s="41">
        <v>0.89458134824686564</v>
      </c>
      <c r="I11" s="42">
        <v>0</v>
      </c>
      <c r="J11" s="43">
        <v>0.21</v>
      </c>
      <c r="K11" s="51" t="str">
        <f t="shared" si="0"/>
        <v>High Revenue</v>
      </c>
      <c r="L11" s="51" t="str">
        <f t="shared" si="1"/>
        <v>High Profit</v>
      </c>
      <c r="M11" s="53" t="str">
        <f t="shared" si="2"/>
        <v>Strategic Gold</v>
      </c>
      <c r="N11" s="56" t="str">
        <f t="shared" si="3"/>
        <v>Low Cost</v>
      </c>
      <c r="O11" s="33">
        <f t="shared" si="4"/>
        <v>0</v>
      </c>
      <c r="P11" s="57">
        <v>0.21</v>
      </c>
      <c r="Q11" s="48">
        <f t="shared" si="5"/>
        <v>0.10541865175313436</v>
      </c>
      <c r="R11" s="60">
        <f t="shared" si="6"/>
        <v>9.4625595525940298E-2</v>
      </c>
      <c r="S11" s="61" t="str">
        <f t="shared" si="7"/>
        <v>Low Risk</v>
      </c>
    </row>
    <row r="12" spans="1:23" ht="15.6" x14ac:dyDescent="0.3">
      <c r="A12" s="36" t="s">
        <v>17</v>
      </c>
      <c r="B12" s="36" t="s">
        <v>282</v>
      </c>
      <c r="C12" s="36" t="s">
        <v>259</v>
      </c>
      <c r="D12" s="37">
        <v>1053433.4099999999</v>
      </c>
      <c r="E12" s="38">
        <v>426285.28825003846</v>
      </c>
      <c r="F12" s="39">
        <v>0.40466277621671265</v>
      </c>
      <c r="G12" s="40">
        <v>0.43067743598525132</v>
      </c>
      <c r="H12" s="41">
        <v>0.7210465482548678</v>
      </c>
      <c r="I12" s="42">
        <v>2</v>
      </c>
      <c r="J12" s="43">
        <v>0.13</v>
      </c>
      <c r="K12" s="51" t="str">
        <f t="shared" si="0"/>
        <v>High Revenue</v>
      </c>
      <c r="L12" s="51" t="str">
        <f t="shared" si="1"/>
        <v>High Profit</v>
      </c>
      <c r="M12" s="53" t="str">
        <f t="shared" si="2"/>
        <v>Strategic Gold</v>
      </c>
      <c r="N12" s="56" t="str">
        <f t="shared" si="3"/>
        <v>Medium Cost</v>
      </c>
      <c r="O12" s="33">
        <f t="shared" si="4"/>
        <v>0.33333333333333331</v>
      </c>
      <c r="P12" s="57">
        <v>0.13</v>
      </c>
      <c r="Q12" s="48">
        <f t="shared" si="5"/>
        <v>0.2789534517451322</v>
      </c>
      <c r="R12" s="60">
        <f t="shared" si="6"/>
        <v>0.25601936885687299</v>
      </c>
      <c r="S12" s="61" t="str">
        <f t="shared" si="7"/>
        <v>Low Risk</v>
      </c>
    </row>
    <row r="13" spans="1:23" ht="15.6" x14ac:dyDescent="0.3">
      <c r="A13" s="36" t="s">
        <v>18</v>
      </c>
      <c r="B13" s="36" t="s">
        <v>283</v>
      </c>
      <c r="C13" s="36" t="s">
        <v>259</v>
      </c>
      <c r="D13" s="37">
        <v>910244.46</v>
      </c>
      <c r="E13" s="38">
        <v>351454.9285194783</v>
      </c>
      <c r="F13" s="39">
        <v>0.38611048346229793</v>
      </c>
      <c r="G13" s="40">
        <v>0.43944238891605009</v>
      </c>
      <c r="H13" s="41">
        <v>0.70544264523518263</v>
      </c>
      <c r="I13" s="42">
        <v>4</v>
      </c>
      <c r="J13" s="43">
        <v>0.13</v>
      </c>
      <c r="K13" s="51" t="str">
        <f t="shared" si="0"/>
        <v>Low Revenue</v>
      </c>
      <c r="L13" s="51" t="str">
        <f t="shared" si="1"/>
        <v>High Profit</v>
      </c>
      <c r="M13" s="53" t="str">
        <f t="shared" si="2"/>
        <v>Hidden Gems</v>
      </c>
      <c r="N13" s="56" t="str">
        <f t="shared" si="3"/>
        <v>Medium Cost</v>
      </c>
      <c r="O13" s="33">
        <f t="shared" si="4"/>
        <v>0.66666666666666663</v>
      </c>
      <c r="P13" s="57">
        <v>0.13</v>
      </c>
      <c r="Q13" s="48">
        <f t="shared" si="5"/>
        <v>0.29455735476481737</v>
      </c>
      <c r="R13" s="60">
        <f t="shared" si="6"/>
        <v>0.39403387309611182</v>
      </c>
      <c r="S13" s="61" t="str">
        <f t="shared" si="7"/>
        <v>Medium Risk</v>
      </c>
    </row>
    <row r="14" spans="1:23" ht="15.6" x14ac:dyDescent="0.3">
      <c r="A14" s="36" t="s">
        <v>19</v>
      </c>
      <c r="B14" s="36" t="s">
        <v>284</v>
      </c>
      <c r="C14" s="36" t="s">
        <v>258</v>
      </c>
      <c r="D14" s="37">
        <v>180869.55</v>
      </c>
      <c r="E14" s="38">
        <v>-1952.0337628430425</v>
      </c>
      <c r="F14" s="39">
        <v>-1.0792495269895031E-2</v>
      </c>
      <c r="G14" s="40">
        <v>0.84845680215381758</v>
      </c>
      <c r="H14" s="41">
        <v>0.57635339430953281</v>
      </c>
      <c r="I14" s="42">
        <v>1</v>
      </c>
      <c r="J14" s="43">
        <v>0.05</v>
      </c>
      <c r="K14" s="51" t="str">
        <f t="shared" si="0"/>
        <v>Low Revenue</v>
      </c>
      <c r="L14" s="51" t="str">
        <f t="shared" si="1"/>
        <v>Low Profit</v>
      </c>
      <c r="M14" s="53" t="str">
        <f t="shared" si="2"/>
        <v>Value Destroyers</v>
      </c>
      <c r="N14" s="56" t="str">
        <f t="shared" si="3"/>
        <v>High Cost</v>
      </c>
      <c r="O14" s="33">
        <f t="shared" si="4"/>
        <v>0.16666666666666666</v>
      </c>
      <c r="P14" s="57">
        <v>0.05</v>
      </c>
      <c r="Q14" s="48">
        <f t="shared" si="5"/>
        <v>0.42364660569046719</v>
      </c>
      <c r="R14" s="60">
        <f t="shared" si="6"/>
        <v>0.20876064837380681</v>
      </c>
      <c r="S14" s="61" t="str">
        <f t="shared" si="7"/>
        <v>Low Risk</v>
      </c>
    </row>
    <row r="15" spans="1:23" ht="15.6" x14ac:dyDescent="0.3">
      <c r="A15" s="36" t="s">
        <v>20</v>
      </c>
      <c r="B15" s="36" t="s">
        <v>285</v>
      </c>
      <c r="C15" s="36" t="s">
        <v>258</v>
      </c>
      <c r="D15" s="37">
        <v>549939.74</v>
      </c>
      <c r="E15" s="38">
        <v>283999.88619843888</v>
      </c>
      <c r="F15" s="39">
        <v>0.5164200103059271</v>
      </c>
      <c r="G15" s="40">
        <v>0.36862220577112687</v>
      </c>
      <c r="H15" s="41">
        <v>0.69995962340866247</v>
      </c>
      <c r="I15" s="42">
        <v>3</v>
      </c>
      <c r="J15" s="43">
        <v>0.02</v>
      </c>
      <c r="K15" s="51" t="str">
        <f t="shared" si="0"/>
        <v>Low Revenue</v>
      </c>
      <c r="L15" s="51" t="str">
        <f t="shared" si="1"/>
        <v>High Profit</v>
      </c>
      <c r="M15" s="53" t="str">
        <f t="shared" si="2"/>
        <v>Hidden Gems</v>
      </c>
      <c r="N15" s="56" t="str">
        <f t="shared" si="3"/>
        <v>Low Cost</v>
      </c>
      <c r="O15" s="33">
        <f t="shared" si="4"/>
        <v>0.5</v>
      </c>
      <c r="P15" s="57">
        <v>0.02</v>
      </c>
      <c r="Q15" s="48">
        <f t="shared" si="5"/>
        <v>0.30004037659133753</v>
      </c>
      <c r="R15" s="60">
        <f t="shared" si="6"/>
        <v>0.29601211297740126</v>
      </c>
      <c r="S15" s="61" t="str">
        <f t="shared" si="7"/>
        <v>Low Risk</v>
      </c>
    </row>
    <row r="16" spans="1:23" ht="15.6" x14ac:dyDescent="0.3">
      <c r="A16" s="36" t="s">
        <v>21</v>
      </c>
      <c r="B16" s="36" t="s">
        <v>286</v>
      </c>
      <c r="C16" s="36" t="s">
        <v>260</v>
      </c>
      <c r="D16" s="37">
        <v>3300155.88</v>
      </c>
      <c r="E16" s="38">
        <v>1614964.8498567266</v>
      </c>
      <c r="F16" s="39">
        <v>0.48936017224032663</v>
      </c>
      <c r="G16" s="40">
        <v>0.39695397661034121</v>
      </c>
      <c r="H16" s="41">
        <v>0.85596449914795736</v>
      </c>
      <c r="I16" s="42">
        <v>4</v>
      </c>
      <c r="J16" s="43">
        <v>0.16</v>
      </c>
      <c r="K16" s="51" t="str">
        <f t="shared" si="0"/>
        <v>High Revenue</v>
      </c>
      <c r="L16" s="51" t="str">
        <f t="shared" si="1"/>
        <v>High Profit</v>
      </c>
      <c r="M16" s="53" t="str">
        <f t="shared" si="2"/>
        <v>Strategic Gold</v>
      </c>
      <c r="N16" s="56" t="str">
        <f t="shared" si="3"/>
        <v>Low Cost</v>
      </c>
      <c r="O16" s="33">
        <f t="shared" si="4"/>
        <v>0.66666666666666663</v>
      </c>
      <c r="P16" s="57">
        <v>0.16</v>
      </c>
      <c r="Q16" s="48">
        <f t="shared" si="5"/>
        <v>0.14403550085204264</v>
      </c>
      <c r="R16" s="60">
        <f t="shared" si="6"/>
        <v>0.35787731692227942</v>
      </c>
      <c r="S16" s="61" t="str">
        <f t="shared" si="7"/>
        <v>Medium Risk</v>
      </c>
    </row>
    <row r="17" spans="1:19" ht="15.6" x14ac:dyDescent="0.3">
      <c r="A17" s="36" t="s">
        <v>22</v>
      </c>
      <c r="B17" s="36" t="s">
        <v>287</v>
      </c>
      <c r="C17" s="36" t="s">
        <v>259</v>
      </c>
      <c r="D17" s="37">
        <v>1896086.7899999998</v>
      </c>
      <c r="E17" s="38">
        <v>1218152.2097686662</v>
      </c>
      <c r="F17" s="39">
        <v>0.64245593408130142</v>
      </c>
      <c r="G17" s="40">
        <v>0.24775237213693158</v>
      </c>
      <c r="H17" s="41">
        <v>0.83865007357896448</v>
      </c>
      <c r="I17" s="42">
        <v>3</v>
      </c>
      <c r="J17" s="43">
        <v>7.0000000000000007E-2</v>
      </c>
      <c r="K17" s="51" t="str">
        <f t="shared" si="0"/>
        <v>High Revenue</v>
      </c>
      <c r="L17" s="51" t="str">
        <f t="shared" si="1"/>
        <v>High Profit</v>
      </c>
      <c r="M17" s="53" t="str">
        <f t="shared" si="2"/>
        <v>Strategic Gold</v>
      </c>
      <c r="N17" s="56" t="str">
        <f t="shared" si="3"/>
        <v>Low Cost</v>
      </c>
      <c r="O17" s="33">
        <f t="shared" si="4"/>
        <v>0.5</v>
      </c>
      <c r="P17" s="57">
        <v>7.0000000000000007E-2</v>
      </c>
      <c r="Q17" s="48">
        <f t="shared" si="5"/>
        <v>0.16134992642103552</v>
      </c>
      <c r="R17" s="60">
        <f t="shared" si="6"/>
        <v>0.26940497792631068</v>
      </c>
      <c r="S17" s="61" t="str">
        <f t="shared" si="7"/>
        <v>Low Risk</v>
      </c>
    </row>
    <row r="18" spans="1:19" ht="15.6" x14ac:dyDescent="0.3">
      <c r="A18" s="36" t="s">
        <v>23</v>
      </c>
      <c r="B18" s="36" t="s">
        <v>288</v>
      </c>
      <c r="C18" s="36" t="s">
        <v>258</v>
      </c>
      <c r="D18" s="37">
        <v>154584.43</v>
      </c>
      <c r="E18" s="38">
        <v>17002.122155559293</v>
      </c>
      <c r="F18" s="39">
        <v>0.10998599377414202</v>
      </c>
      <c r="G18" s="40">
        <v>0.69903547207179928</v>
      </c>
      <c r="H18" s="41">
        <v>0.75595390824194708</v>
      </c>
      <c r="I18" s="42">
        <v>2</v>
      </c>
      <c r="J18" s="43">
        <v>0.09</v>
      </c>
      <c r="K18" s="51" t="str">
        <f t="shared" si="0"/>
        <v>Low Revenue</v>
      </c>
      <c r="L18" s="51" t="str">
        <f t="shared" si="1"/>
        <v>Low Profit</v>
      </c>
      <c r="M18" s="53" t="str">
        <f t="shared" si="2"/>
        <v>Value Destroyers</v>
      </c>
      <c r="N18" s="56" t="str">
        <f t="shared" si="3"/>
        <v>Medium Cost</v>
      </c>
      <c r="O18" s="33">
        <f t="shared" si="4"/>
        <v>0.33333333333333331</v>
      </c>
      <c r="P18" s="57">
        <v>0.09</v>
      </c>
      <c r="Q18" s="48">
        <f t="shared" si="5"/>
        <v>0.24404609175805292</v>
      </c>
      <c r="R18" s="60">
        <f t="shared" si="6"/>
        <v>0.2335471608607492</v>
      </c>
      <c r="S18" s="61" t="str">
        <f t="shared" si="7"/>
        <v>Low Risk</v>
      </c>
    </row>
    <row r="19" spans="1:19" ht="15.6" x14ac:dyDescent="0.3">
      <c r="A19" s="36" t="s">
        <v>24</v>
      </c>
      <c r="B19" s="36" t="s">
        <v>289</v>
      </c>
      <c r="C19" s="36" t="s">
        <v>258</v>
      </c>
      <c r="D19" s="37">
        <v>275573.21999999997</v>
      </c>
      <c r="E19" s="38">
        <v>96352.14249007676</v>
      </c>
      <c r="F19" s="39">
        <v>0.34964261944639169</v>
      </c>
      <c r="G19" s="40">
        <v>0.50200814142970795</v>
      </c>
      <c r="H19" s="41">
        <v>0.56337221768178802</v>
      </c>
      <c r="I19" s="42">
        <v>0</v>
      </c>
      <c r="J19" s="43">
        <v>0.06</v>
      </c>
      <c r="K19" s="51" t="str">
        <f t="shared" si="0"/>
        <v>Low Revenue</v>
      </c>
      <c r="L19" s="51" t="str">
        <f t="shared" si="1"/>
        <v>High Profit</v>
      </c>
      <c r="M19" s="53" t="str">
        <f t="shared" si="2"/>
        <v>Hidden Gems</v>
      </c>
      <c r="N19" s="56" t="str">
        <f t="shared" si="3"/>
        <v>Medium Cost</v>
      </c>
      <c r="O19" s="33">
        <f t="shared" si="4"/>
        <v>0</v>
      </c>
      <c r="P19" s="57">
        <v>0.06</v>
      </c>
      <c r="Q19" s="48">
        <f t="shared" si="5"/>
        <v>0.43662778231821198</v>
      </c>
      <c r="R19" s="60">
        <f t="shared" si="6"/>
        <v>0.14898833469546358</v>
      </c>
      <c r="S19" s="61" t="str">
        <f t="shared" si="7"/>
        <v>Low Risk</v>
      </c>
    </row>
    <row r="20" spans="1:19" ht="15.6" x14ac:dyDescent="0.3">
      <c r="A20" s="36" t="s">
        <v>25</v>
      </c>
      <c r="B20" s="36" t="s">
        <v>290</v>
      </c>
      <c r="C20" s="36" t="s">
        <v>259</v>
      </c>
      <c r="D20" s="37">
        <v>1499191.26</v>
      </c>
      <c r="E20" s="38">
        <v>891253.74055419466</v>
      </c>
      <c r="F20" s="39">
        <v>0.59448968542825864</v>
      </c>
      <c r="G20" s="40">
        <v>0.29624639087076854</v>
      </c>
      <c r="H20" s="41">
        <v>0.87364328692365234</v>
      </c>
      <c r="I20" s="42">
        <v>1</v>
      </c>
      <c r="J20" s="43">
        <v>0.03</v>
      </c>
      <c r="K20" s="51" t="str">
        <f t="shared" si="0"/>
        <v>High Revenue</v>
      </c>
      <c r="L20" s="51" t="str">
        <f t="shared" si="1"/>
        <v>High Profit</v>
      </c>
      <c r="M20" s="53" t="str">
        <f t="shared" si="2"/>
        <v>Strategic Gold</v>
      </c>
      <c r="N20" s="56" t="str">
        <f t="shared" si="3"/>
        <v>Low Cost</v>
      </c>
      <c r="O20" s="33">
        <f t="shared" si="4"/>
        <v>0.16666666666666666</v>
      </c>
      <c r="P20" s="57">
        <v>0.03</v>
      </c>
      <c r="Q20" s="48">
        <f t="shared" si="5"/>
        <v>0.12635671307634766</v>
      </c>
      <c r="R20" s="60">
        <f t="shared" si="6"/>
        <v>0.11357368058957096</v>
      </c>
      <c r="S20" s="61" t="str">
        <f t="shared" si="7"/>
        <v>Low Risk</v>
      </c>
    </row>
    <row r="21" spans="1:19" ht="15.6" x14ac:dyDescent="0.3">
      <c r="A21" s="36" t="s">
        <v>26</v>
      </c>
      <c r="B21" s="36" t="s">
        <v>291</v>
      </c>
      <c r="C21" s="36" t="s">
        <v>259</v>
      </c>
      <c r="D21" s="37">
        <v>1310808.3999999999</v>
      </c>
      <c r="E21" s="38">
        <v>570788.80236911308</v>
      </c>
      <c r="F21" s="39">
        <v>0.43544792844561653</v>
      </c>
      <c r="G21" s="40">
        <v>0.41109745711119949</v>
      </c>
      <c r="H21" s="41">
        <v>0.74693332952601599</v>
      </c>
      <c r="I21" s="42">
        <v>1</v>
      </c>
      <c r="J21" s="43">
        <v>0.12</v>
      </c>
      <c r="K21" s="51" t="str">
        <f t="shared" si="0"/>
        <v>High Revenue</v>
      </c>
      <c r="L21" s="51" t="str">
        <f t="shared" si="1"/>
        <v>High Profit</v>
      </c>
      <c r="M21" s="53" t="str">
        <f t="shared" si="2"/>
        <v>Strategic Gold</v>
      </c>
      <c r="N21" s="56" t="str">
        <f t="shared" si="3"/>
        <v>Medium Cost</v>
      </c>
      <c r="O21" s="33">
        <f t="shared" si="4"/>
        <v>0.16666666666666666</v>
      </c>
      <c r="P21" s="57">
        <v>0.12</v>
      </c>
      <c r="Q21" s="48">
        <f t="shared" si="5"/>
        <v>0.25306667047398401</v>
      </c>
      <c r="R21" s="60">
        <f t="shared" si="6"/>
        <v>0.17858666780886184</v>
      </c>
      <c r="S21" s="61" t="str">
        <f t="shared" si="7"/>
        <v>Low Risk</v>
      </c>
    </row>
    <row r="22" spans="1:19" ht="15.6" x14ac:dyDescent="0.3">
      <c r="A22" s="36" t="s">
        <v>27</v>
      </c>
      <c r="B22" s="36" t="s">
        <v>292</v>
      </c>
      <c r="C22" s="36" t="s">
        <v>259</v>
      </c>
      <c r="D22" s="37">
        <v>1034313.56</v>
      </c>
      <c r="E22" s="38">
        <v>475086.66981582018</v>
      </c>
      <c r="F22" s="39">
        <v>0.45932557416710279</v>
      </c>
      <c r="G22" s="40">
        <v>0.39729731475240448</v>
      </c>
      <c r="H22" s="41">
        <v>0.8873611283618289</v>
      </c>
      <c r="I22" s="42">
        <v>1</v>
      </c>
      <c r="J22" s="43">
        <v>0.18</v>
      </c>
      <c r="K22" s="51" t="str">
        <f t="shared" si="0"/>
        <v>High Revenue</v>
      </c>
      <c r="L22" s="51" t="str">
        <f t="shared" si="1"/>
        <v>High Profit</v>
      </c>
      <c r="M22" s="53" t="str">
        <f t="shared" si="2"/>
        <v>Strategic Gold</v>
      </c>
      <c r="N22" s="56" t="str">
        <f t="shared" si="3"/>
        <v>Low Cost</v>
      </c>
      <c r="O22" s="33">
        <f t="shared" si="4"/>
        <v>0.16666666666666666</v>
      </c>
      <c r="P22" s="57">
        <v>0.18</v>
      </c>
      <c r="Q22" s="48">
        <f t="shared" si="5"/>
        <v>0.1126388716381711</v>
      </c>
      <c r="R22" s="60">
        <f t="shared" si="6"/>
        <v>0.154458328158118</v>
      </c>
      <c r="S22" s="61" t="str">
        <f t="shared" si="7"/>
        <v>Low Risk</v>
      </c>
    </row>
    <row r="23" spans="1:19" ht="15.6" x14ac:dyDescent="0.3">
      <c r="A23" s="36" t="s">
        <v>28</v>
      </c>
      <c r="B23" s="36" t="s">
        <v>293</v>
      </c>
      <c r="C23" s="36" t="s">
        <v>260</v>
      </c>
      <c r="D23" s="37">
        <v>9521970.7200000007</v>
      </c>
      <c r="E23" s="38">
        <v>6144658.6722663678</v>
      </c>
      <c r="F23" s="39">
        <v>0.64531375415386361</v>
      </c>
      <c r="G23" s="40">
        <v>0.23234055901402728</v>
      </c>
      <c r="H23" s="41">
        <v>0.82370395054798373</v>
      </c>
      <c r="I23" s="42">
        <v>3</v>
      </c>
      <c r="J23" s="43">
        <v>0.26</v>
      </c>
      <c r="K23" s="51" t="str">
        <f t="shared" si="0"/>
        <v>High Revenue</v>
      </c>
      <c r="L23" s="51" t="str">
        <f t="shared" si="1"/>
        <v>High Profit</v>
      </c>
      <c r="M23" s="53" t="str">
        <f t="shared" si="2"/>
        <v>Strategic Gold</v>
      </c>
      <c r="N23" s="56" t="str">
        <f t="shared" si="3"/>
        <v>Low Cost</v>
      </c>
      <c r="O23" s="33">
        <f t="shared" si="4"/>
        <v>0.5</v>
      </c>
      <c r="P23" s="57">
        <v>0.26</v>
      </c>
      <c r="Q23" s="48">
        <f t="shared" si="5"/>
        <v>0.17629604945201627</v>
      </c>
      <c r="R23" s="60">
        <f t="shared" si="6"/>
        <v>0.33088881483560489</v>
      </c>
      <c r="S23" s="61" t="str">
        <f t="shared" si="7"/>
        <v>Low Risk</v>
      </c>
    </row>
    <row r="24" spans="1:19" ht="15.6" x14ac:dyDescent="0.3">
      <c r="A24" s="36" t="s">
        <v>29</v>
      </c>
      <c r="B24" s="36" t="s">
        <v>294</v>
      </c>
      <c r="C24" s="36" t="s">
        <v>259</v>
      </c>
      <c r="D24" s="37">
        <v>786085.72000000009</v>
      </c>
      <c r="E24" s="38">
        <v>305525.63901523023</v>
      </c>
      <c r="F24" s="39">
        <v>0.38866707693816166</v>
      </c>
      <c r="G24" s="40">
        <v>0.48712244766385016</v>
      </c>
      <c r="H24" s="41">
        <v>0.84100069351457896</v>
      </c>
      <c r="I24" s="42">
        <v>0</v>
      </c>
      <c r="J24" s="43">
        <v>0.08</v>
      </c>
      <c r="K24" s="51" t="str">
        <f t="shared" si="0"/>
        <v>Low Revenue</v>
      </c>
      <c r="L24" s="51" t="str">
        <f t="shared" si="1"/>
        <v>High Profit</v>
      </c>
      <c r="M24" s="53" t="str">
        <f t="shared" si="2"/>
        <v>Hidden Gems</v>
      </c>
      <c r="N24" s="56" t="str">
        <f t="shared" si="3"/>
        <v>Medium Cost</v>
      </c>
      <c r="O24" s="33">
        <f t="shared" si="4"/>
        <v>0</v>
      </c>
      <c r="P24" s="57">
        <v>0.08</v>
      </c>
      <c r="Q24" s="48">
        <f t="shared" si="5"/>
        <v>0.15899930648542104</v>
      </c>
      <c r="R24" s="60">
        <f t="shared" si="6"/>
        <v>7.1699791945626312E-2</v>
      </c>
      <c r="S24" s="61" t="str">
        <f t="shared" si="7"/>
        <v>Low Risk</v>
      </c>
    </row>
    <row r="25" spans="1:19" ht="15.6" x14ac:dyDescent="0.3">
      <c r="A25" s="36" t="s">
        <v>30</v>
      </c>
      <c r="B25" s="36" t="s">
        <v>295</v>
      </c>
      <c r="C25" s="36" t="s">
        <v>260</v>
      </c>
      <c r="D25" s="37">
        <v>12790062.76</v>
      </c>
      <c r="E25" s="38">
        <v>8863542.783850072</v>
      </c>
      <c r="F25" s="39">
        <v>0.69300229015061321</v>
      </c>
      <c r="G25" s="40">
        <v>0.20605293730396051</v>
      </c>
      <c r="H25" s="41">
        <v>0.96655144051474118</v>
      </c>
      <c r="I25" s="42">
        <v>0</v>
      </c>
      <c r="J25" s="43">
        <v>0.14000000000000001</v>
      </c>
      <c r="K25" s="51" t="str">
        <f t="shared" si="0"/>
        <v>High Revenue</v>
      </c>
      <c r="L25" s="51" t="str">
        <f t="shared" si="1"/>
        <v>High Profit</v>
      </c>
      <c r="M25" s="53" t="str">
        <f t="shared" si="2"/>
        <v>Strategic Gold</v>
      </c>
      <c r="N25" s="56" t="str">
        <f t="shared" si="3"/>
        <v>Low Cost</v>
      </c>
      <c r="O25" s="33">
        <f t="shared" si="4"/>
        <v>0</v>
      </c>
      <c r="P25" s="57">
        <v>0.14000000000000001</v>
      </c>
      <c r="Q25" s="48">
        <f t="shared" si="5"/>
        <v>3.3448559485258822E-2</v>
      </c>
      <c r="R25" s="60">
        <f t="shared" si="6"/>
        <v>5.2034567845577646E-2</v>
      </c>
      <c r="S25" s="61" t="str">
        <f t="shared" si="7"/>
        <v>Low Risk</v>
      </c>
    </row>
    <row r="26" spans="1:19" ht="15.6" x14ac:dyDescent="0.3">
      <c r="A26" s="36" t="s">
        <v>31</v>
      </c>
      <c r="B26" s="36" t="s">
        <v>296</v>
      </c>
      <c r="C26" s="36" t="s">
        <v>259</v>
      </c>
      <c r="D26" s="37">
        <v>795307.5</v>
      </c>
      <c r="E26" s="38">
        <v>371291.4578949209</v>
      </c>
      <c r="F26" s="39">
        <v>0.46685270526798867</v>
      </c>
      <c r="G26" s="40">
        <v>0.4105959015852359</v>
      </c>
      <c r="H26" s="41">
        <v>0.72553505999639512</v>
      </c>
      <c r="I26" s="42">
        <v>3</v>
      </c>
      <c r="J26" s="43">
        <v>0.1</v>
      </c>
      <c r="K26" s="51" t="str">
        <f t="shared" si="0"/>
        <v>Low Revenue</v>
      </c>
      <c r="L26" s="51" t="str">
        <f t="shared" si="1"/>
        <v>High Profit</v>
      </c>
      <c r="M26" s="53" t="str">
        <f t="shared" si="2"/>
        <v>Hidden Gems</v>
      </c>
      <c r="N26" s="56" t="str">
        <f t="shared" si="3"/>
        <v>Medium Cost</v>
      </c>
      <c r="O26" s="33">
        <f t="shared" si="4"/>
        <v>0.5</v>
      </c>
      <c r="P26" s="57">
        <v>0.1</v>
      </c>
      <c r="Q26" s="48">
        <f t="shared" si="5"/>
        <v>0.27446494000360488</v>
      </c>
      <c r="R26" s="60">
        <f t="shared" si="6"/>
        <v>0.31233948200108147</v>
      </c>
      <c r="S26" s="61" t="str">
        <f t="shared" si="7"/>
        <v>Low Risk</v>
      </c>
    </row>
    <row r="27" spans="1:19" ht="15.6" x14ac:dyDescent="0.3">
      <c r="A27" s="36" t="s">
        <v>32</v>
      </c>
      <c r="B27" s="36" t="s">
        <v>297</v>
      </c>
      <c r="C27" s="36" t="s">
        <v>258</v>
      </c>
      <c r="D27" s="37">
        <v>289347</v>
      </c>
      <c r="E27" s="38">
        <v>72912.281371610356</v>
      </c>
      <c r="F27" s="39">
        <v>0.25198906977300733</v>
      </c>
      <c r="G27" s="40">
        <v>0.61407237676561366</v>
      </c>
      <c r="H27" s="41">
        <v>0.54211026026687736</v>
      </c>
      <c r="I27" s="42">
        <v>5</v>
      </c>
      <c r="J27" s="43">
        <v>0</v>
      </c>
      <c r="K27" s="51" t="str">
        <f t="shared" si="0"/>
        <v>Low Revenue</v>
      </c>
      <c r="L27" s="51" t="str">
        <f t="shared" si="1"/>
        <v>High Profit</v>
      </c>
      <c r="M27" s="53" t="str">
        <f t="shared" si="2"/>
        <v>Hidden Gems</v>
      </c>
      <c r="N27" s="56" t="str">
        <f t="shared" si="3"/>
        <v>Medium Cost</v>
      </c>
      <c r="O27" s="33">
        <f t="shared" si="4"/>
        <v>0.83333333333333337</v>
      </c>
      <c r="P27" s="57">
        <v>0</v>
      </c>
      <c r="Q27" s="48">
        <f t="shared" si="5"/>
        <v>0.45788973973312264</v>
      </c>
      <c r="R27" s="60">
        <f t="shared" si="6"/>
        <v>0.47070025525327019</v>
      </c>
      <c r="S27" s="61" t="str">
        <f t="shared" si="7"/>
        <v>Medium Risk</v>
      </c>
    </row>
    <row r="28" spans="1:19" ht="15.6" x14ac:dyDescent="0.3">
      <c r="A28" s="36" t="s">
        <v>33</v>
      </c>
      <c r="B28" s="36" t="s">
        <v>298</v>
      </c>
      <c r="C28" s="36" t="s">
        <v>259</v>
      </c>
      <c r="D28" s="37">
        <v>2327607.7999999998</v>
      </c>
      <c r="E28" s="38">
        <v>1542766.7512393992</v>
      </c>
      <c r="F28" s="39">
        <v>0.66281215900694235</v>
      </c>
      <c r="G28" s="40">
        <v>0.23237591831407337</v>
      </c>
      <c r="H28" s="41">
        <v>0.83249864852226241</v>
      </c>
      <c r="I28" s="42">
        <v>4</v>
      </c>
      <c r="J28" s="43">
        <v>0.02</v>
      </c>
      <c r="K28" s="51" t="str">
        <f t="shared" si="0"/>
        <v>High Revenue</v>
      </c>
      <c r="L28" s="51" t="str">
        <f t="shared" si="1"/>
        <v>High Profit</v>
      </c>
      <c r="M28" s="53" t="str">
        <f t="shared" si="2"/>
        <v>Strategic Gold</v>
      </c>
      <c r="N28" s="56" t="str">
        <f t="shared" si="3"/>
        <v>Low Cost</v>
      </c>
      <c r="O28" s="33">
        <f t="shared" si="4"/>
        <v>0.66666666666666663</v>
      </c>
      <c r="P28" s="57">
        <v>0.02</v>
      </c>
      <c r="Q28" s="48">
        <f t="shared" si="5"/>
        <v>0.16750135147773759</v>
      </c>
      <c r="R28" s="60">
        <f t="shared" si="6"/>
        <v>0.32291707210998793</v>
      </c>
      <c r="S28" s="61" t="str">
        <f t="shared" si="7"/>
        <v>Low Risk</v>
      </c>
    </row>
    <row r="29" spans="1:19" ht="15.6" x14ac:dyDescent="0.3">
      <c r="A29" s="36" t="s">
        <v>34</v>
      </c>
      <c r="B29" s="36" t="s">
        <v>299</v>
      </c>
      <c r="C29" s="36" t="s">
        <v>258</v>
      </c>
      <c r="D29" s="37">
        <v>260753.15</v>
      </c>
      <c r="E29" s="38">
        <v>71457.082071034878</v>
      </c>
      <c r="F29" s="39">
        <v>0.27404110773363571</v>
      </c>
      <c r="G29" s="40">
        <v>0.58982988316727913</v>
      </c>
      <c r="H29" s="41">
        <v>0.6114768236851984</v>
      </c>
      <c r="I29" s="42">
        <v>4</v>
      </c>
      <c r="J29" s="43">
        <v>0.05</v>
      </c>
      <c r="K29" s="51" t="str">
        <f t="shared" si="0"/>
        <v>Low Revenue</v>
      </c>
      <c r="L29" s="51" t="str">
        <f t="shared" si="1"/>
        <v>High Profit</v>
      </c>
      <c r="M29" s="53" t="str">
        <f t="shared" si="2"/>
        <v>Hidden Gems</v>
      </c>
      <c r="N29" s="56" t="str">
        <f t="shared" si="3"/>
        <v>Medium Cost</v>
      </c>
      <c r="O29" s="33">
        <f t="shared" si="4"/>
        <v>0.66666666666666663</v>
      </c>
      <c r="P29" s="57">
        <v>0.05</v>
      </c>
      <c r="Q29" s="48">
        <f t="shared" si="5"/>
        <v>0.3885231763148016</v>
      </c>
      <c r="R29" s="60">
        <f t="shared" si="6"/>
        <v>0.39822361956110713</v>
      </c>
      <c r="S29" s="61" t="str">
        <f t="shared" si="7"/>
        <v>Medium Risk</v>
      </c>
    </row>
    <row r="30" spans="1:19" ht="15.6" x14ac:dyDescent="0.3">
      <c r="A30" s="36" t="s">
        <v>35</v>
      </c>
      <c r="B30" s="36" t="s">
        <v>300</v>
      </c>
      <c r="C30" s="36" t="s">
        <v>258</v>
      </c>
      <c r="D30" s="37">
        <v>485850.24</v>
      </c>
      <c r="E30" s="38">
        <v>291774.58474377735</v>
      </c>
      <c r="F30" s="39">
        <v>0.60054428447699715</v>
      </c>
      <c r="G30" s="40">
        <v>0.29803422552595632</v>
      </c>
      <c r="H30" s="41">
        <v>0.56954297793588016</v>
      </c>
      <c r="I30" s="42">
        <v>4</v>
      </c>
      <c r="J30" s="43">
        <v>0.04</v>
      </c>
      <c r="K30" s="51" t="str">
        <f t="shared" si="0"/>
        <v>Low Revenue</v>
      </c>
      <c r="L30" s="51" t="str">
        <f t="shared" si="1"/>
        <v>High Profit</v>
      </c>
      <c r="M30" s="53" t="str">
        <f t="shared" si="2"/>
        <v>Hidden Gems</v>
      </c>
      <c r="N30" s="56" t="str">
        <f t="shared" si="3"/>
        <v>Low Cost</v>
      </c>
      <c r="O30" s="33">
        <f t="shared" si="4"/>
        <v>0.66666666666666663</v>
      </c>
      <c r="P30" s="57">
        <v>0.04</v>
      </c>
      <c r="Q30" s="48">
        <f t="shared" si="5"/>
        <v>0.43045702206411984</v>
      </c>
      <c r="R30" s="60">
        <f t="shared" si="6"/>
        <v>0.40780377328590262</v>
      </c>
      <c r="S30" s="61" t="str">
        <f t="shared" si="7"/>
        <v>Medium Risk</v>
      </c>
    </row>
    <row r="31" spans="1:19" ht="15.6" x14ac:dyDescent="0.3">
      <c r="A31" s="36" t="s">
        <v>36</v>
      </c>
      <c r="B31" s="36" t="s">
        <v>301</v>
      </c>
      <c r="C31" s="36" t="s">
        <v>260</v>
      </c>
      <c r="D31" s="37">
        <v>11232871.020000001</v>
      </c>
      <c r="E31" s="38">
        <v>7511678.4137886912</v>
      </c>
      <c r="F31" s="39">
        <v>0.66872292937524447</v>
      </c>
      <c r="G31" s="40">
        <v>0.22949075044217856</v>
      </c>
      <c r="H31" s="41">
        <v>0.86368923292300803</v>
      </c>
      <c r="I31" s="42">
        <v>2</v>
      </c>
      <c r="J31" s="43">
        <v>0.19</v>
      </c>
      <c r="K31" s="51" t="str">
        <f t="shared" si="0"/>
        <v>High Revenue</v>
      </c>
      <c r="L31" s="51" t="str">
        <f t="shared" si="1"/>
        <v>High Profit</v>
      </c>
      <c r="M31" s="53" t="str">
        <f t="shared" si="2"/>
        <v>Strategic Gold</v>
      </c>
      <c r="N31" s="56" t="str">
        <f t="shared" si="3"/>
        <v>Low Cost</v>
      </c>
      <c r="O31" s="33">
        <f t="shared" si="4"/>
        <v>0.33333333333333331</v>
      </c>
      <c r="P31" s="57">
        <v>0.19</v>
      </c>
      <c r="Q31" s="48">
        <f t="shared" si="5"/>
        <v>0.13631076707699197</v>
      </c>
      <c r="R31" s="60">
        <f t="shared" si="6"/>
        <v>0.23122656345643092</v>
      </c>
      <c r="S31" s="61" t="str">
        <f t="shared" si="7"/>
        <v>Low Risk</v>
      </c>
    </row>
    <row r="32" spans="1:19" ht="15.6" x14ac:dyDescent="0.3">
      <c r="A32" s="36" t="s">
        <v>37</v>
      </c>
      <c r="B32" s="36" t="s">
        <v>302</v>
      </c>
      <c r="C32" s="36" t="s">
        <v>259</v>
      </c>
      <c r="D32" s="37">
        <v>888737.27999999991</v>
      </c>
      <c r="E32" s="38">
        <v>381844.39666906849</v>
      </c>
      <c r="F32" s="39">
        <v>0.4296482270543085</v>
      </c>
      <c r="G32" s="40">
        <v>0.42837181309644179</v>
      </c>
      <c r="H32" s="41">
        <v>0.84265771564351311</v>
      </c>
      <c r="I32" s="42">
        <v>0</v>
      </c>
      <c r="J32" s="43">
        <v>0.04</v>
      </c>
      <c r="K32" s="51" t="str">
        <f t="shared" si="0"/>
        <v>Low Revenue</v>
      </c>
      <c r="L32" s="51" t="str">
        <f t="shared" si="1"/>
        <v>High Profit</v>
      </c>
      <c r="M32" s="53" t="str">
        <f t="shared" si="2"/>
        <v>Hidden Gems</v>
      </c>
      <c r="N32" s="56" t="str">
        <f t="shared" si="3"/>
        <v>Medium Cost</v>
      </c>
      <c r="O32" s="33">
        <f t="shared" si="4"/>
        <v>0</v>
      </c>
      <c r="P32" s="57">
        <v>0.04</v>
      </c>
      <c r="Q32" s="48">
        <f t="shared" si="5"/>
        <v>0.15734228435648689</v>
      </c>
      <c r="R32" s="60">
        <f t="shared" si="6"/>
        <v>5.9202685306946071E-2</v>
      </c>
      <c r="S32" s="61" t="str">
        <f t="shared" si="7"/>
        <v>Low Risk</v>
      </c>
    </row>
    <row r="33" spans="1:19" ht="15.6" x14ac:dyDescent="0.3">
      <c r="A33" s="36" t="s">
        <v>38</v>
      </c>
      <c r="B33" s="36" t="s">
        <v>303</v>
      </c>
      <c r="C33" s="36" t="s">
        <v>259</v>
      </c>
      <c r="D33" s="37">
        <v>639439.29999999993</v>
      </c>
      <c r="E33" s="38">
        <v>163911.02510240051</v>
      </c>
      <c r="F33" s="39">
        <v>0.25633555069636871</v>
      </c>
      <c r="G33" s="40">
        <v>0.59258165708613786</v>
      </c>
      <c r="H33" s="41">
        <v>0.80899909589586227</v>
      </c>
      <c r="I33" s="42">
        <v>2</v>
      </c>
      <c r="J33" s="43">
        <v>0.05</v>
      </c>
      <c r="K33" s="51" t="str">
        <f t="shared" si="0"/>
        <v>Low Revenue</v>
      </c>
      <c r="L33" s="51" t="str">
        <f t="shared" si="1"/>
        <v>High Profit</v>
      </c>
      <c r="M33" s="53" t="str">
        <f t="shared" si="2"/>
        <v>Hidden Gems</v>
      </c>
      <c r="N33" s="56" t="str">
        <f t="shared" si="3"/>
        <v>Medium Cost</v>
      </c>
      <c r="O33" s="33">
        <f t="shared" si="4"/>
        <v>0.33333333333333331</v>
      </c>
      <c r="P33" s="57">
        <v>0.05</v>
      </c>
      <c r="Q33" s="48">
        <f t="shared" si="5"/>
        <v>0.19100090410413773</v>
      </c>
      <c r="R33" s="60">
        <f t="shared" si="6"/>
        <v>0.20563360456457463</v>
      </c>
      <c r="S33" s="61" t="str">
        <f t="shared" si="7"/>
        <v>Low Risk</v>
      </c>
    </row>
    <row r="34" spans="1:19" ht="15.6" x14ac:dyDescent="0.3">
      <c r="A34" s="36" t="s">
        <v>39</v>
      </c>
      <c r="B34" s="36" t="s">
        <v>304</v>
      </c>
      <c r="C34" s="36" t="s">
        <v>260</v>
      </c>
      <c r="D34" s="37">
        <v>7717070.4399999995</v>
      </c>
      <c r="E34" s="38">
        <v>4736668.7844996164</v>
      </c>
      <c r="F34" s="39">
        <v>0.61379105210028595</v>
      </c>
      <c r="G34" s="40">
        <v>0.28774001964403478</v>
      </c>
      <c r="H34" s="41">
        <v>0.95730611395816534</v>
      </c>
      <c r="I34" s="42">
        <v>5</v>
      </c>
      <c r="J34" s="43">
        <v>0.32</v>
      </c>
      <c r="K34" s="51" t="str">
        <f t="shared" si="0"/>
        <v>High Revenue</v>
      </c>
      <c r="L34" s="51" t="str">
        <f t="shared" si="1"/>
        <v>High Profit</v>
      </c>
      <c r="M34" s="53" t="str">
        <f t="shared" si="2"/>
        <v>Strategic Gold</v>
      </c>
      <c r="N34" s="56" t="str">
        <f t="shared" si="3"/>
        <v>Low Cost</v>
      </c>
      <c r="O34" s="33">
        <f t="shared" si="4"/>
        <v>0.83333333333333337</v>
      </c>
      <c r="P34" s="57">
        <v>0.32</v>
      </c>
      <c r="Q34" s="48">
        <f t="shared" si="5"/>
        <v>4.2693886041834661E-2</v>
      </c>
      <c r="R34" s="60">
        <f t="shared" si="6"/>
        <v>0.44214149914588374</v>
      </c>
      <c r="S34" s="61" t="str">
        <f t="shared" si="7"/>
        <v>Medium Risk</v>
      </c>
    </row>
    <row r="35" spans="1:19" ht="15.6" x14ac:dyDescent="0.3">
      <c r="A35" s="36" t="s">
        <v>40</v>
      </c>
      <c r="B35" s="36" t="s">
        <v>305</v>
      </c>
      <c r="C35" s="36" t="s">
        <v>260</v>
      </c>
      <c r="D35" s="37">
        <v>1990639.5</v>
      </c>
      <c r="E35" s="38">
        <v>-1546705.3373771058</v>
      </c>
      <c r="F35" s="39">
        <v>-0.77698917226203235</v>
      </c>
      <c r="G35" s="40">
        <v>1.3673646082075634</v>
      </c>
      <c r="H35" s="41">
        <v>0.77334738730889152</v>
      </c>
      <c r="I35" s="42">
        <v>0</v>
      </c>
      <c r="J35" s="43">
        <v>0.25</v>
      </c>
      <c r="K35" s="51" t="str">
        <f t="shared" si="0"/>
        <v>High Revenue</v>
      </c>
      <c r="L35" s="51" t="str">
        <f t="shared" si="1"/>
        <v>Low Profit</v>
      </c>
      <c r="M35" s="53" t="str">
        <f t="shared" si="2"/>
        <v>Margin Diluters</v>
      </c>
      <c r="N35" s="56" t="str">
        <f t="shared" si="3"/>
        <v>High Cost</v>
      </c>
      <c r="O35" s="33">
        <f t="shared" si="4"/>
        <v>0</v>
      </c>
      <c r="P35" s="57">
        <v>0.25</v>
      </c>
      <c r="Q35" s="48">
        <f t="shared" si="5"/>
        <v>0.22665261269110848</v>
      </c>
      <c r="R35" s="60">
        <f t="shared" si="6"/>
        <v>0.14299578380733252</v>
      </c>
      <c r="S35" s="61" t="str">
        <f t="shared" si="7"/>
        <v>Low Risk</v>
      </c>
    </row>
    <row r="36" spans="1:19" ht="15.6" x14ac:dyDescent="0.3">
      <c r="A36" s="36" t="s">
        <v>41</v>
      </c>
      <c r="B36" s="36" t="s">
        <v>306</v>
      </c>
      <c r="C36" s="36" t="s">
        <v>258</v>
      </c>
      <c r="D36" s="37">
        <v>403647.36</v>
      </c>
      <c r="E36" s="38">
        <v>222044.81683416566</v>
      </c>
      <c r="F36" s="39">
        <v>0.55009604629686082</v>
      </c>
      <c r="G36" s="40">
        <v>0.32087414123060287</v>
      </c>
      <c r="H36" s="41">
        <v>0.6813818545492123</v>
      </c>
      <c r="I36" s="42">
        <v>0</v>
      </c>
      <c r="J36" s="43">
        <v>0.04</v>
      </c>
      <c r="K36" s="51" t="str">
        <f t="shared" si="0"/>
        <v>Low Revenue</v>
      </c>
      <c r="L36" s="51" t="str">
        <f t="shared" si="1"/>
        <v>High Profit</v>
      </c>
      <c r="M36" s="53" t="str">
        <f t="shared" si="2"/>
        <v>Hidden Gems</v>
      </c>
      <c r="N36" s="56" t="str">
        <f t="shared" si="3"/>
        <v>Low Cost</v>
      </c>
      <c r="O36" s="33">
        <f t="shared" si="4"/>
        <v>0</v>
      </c>
      <c r="P36" s="57">
        <v>0.04</v>
      </c>
      <c r="Q36" s="48">
        <f t="shared" si="5"/>
        <v>0.3186181454507877</v>
      </c>
      <c r="R36" s="60">
        <f t="shared" si="6"/>
        <v>0.10758544363523631</v>
      </c>
      <c r="S36" s="61" t="str">
        <f t="shared" si="7"/>
        <v>Low Risk</v>
      </c>
    </row>
    <row r="37" spans="1:19" ht="15.6" x14ac:dyDescent="0.3">
      <c r="A37" s="36" t="s">
        <v>42</v>
      </c>
      <c r="B37" s="36" t="s">
        <v>307</v>
      </c>
      <c r="C37" s="36" t="s">
        <v>258</v>
      </c>
      <c r="D37" s="37">
        <v>165836.58000000002</v>
      </c>
      <c r="E37" s="38">
        <v>-99514.453630275078</v>
      </c>
      <c r="F37" s="39">
        <v>-0.60007540935947346</v>
      </c>
      <c r="G37" s="40">
        <v>1.3442148891396577</v>
      </c>
      <c r="H37" s="41">
        <v>0.64215054189728893</v>
      </c>
      <c r="I37" s="42">
        <v>4</v>
      </c>
      <c r="J37" s="43">
        <v>0.09</v>
      </c>
      <c r="K37" s="51" t="str">
        <f t="shared" si="0"/>
        <v>Low Revenue</v>
      </c>
      <c r="L37" s="51" t="str">
        <f t="shared" si="1"/>
        <v>Low Profit</v>
      </c>
      <c r="M37" s="53" t="str">
        <f t="shared" si="2"/>
        <v>Value Destroyers</v>
      </c>
      <c r="N37" s="56" t="str">
        <f t="shared" si="3"/>
        <v>High Cost</v>
      </c>
      <c r="O37" s="33">
        <f t="shared" si="4"/>
        <v>0.66666666666666663</v>
      </c>
      <c r="P37" s="57">
        <v>0.09</v>
      </c>
      <c r="Q37" s="48">
        <f t="shared" si="5"/>
        <v>0.35784945810271107</v>
      </c>
      <c r="R37" s="60">
        <f t="shared" si="6"/>
        <v>0.40102150409748</v>
      </c>
      <c r="S37" s="61" t="str">
        <f t="shared" si="7"/>
        <v>Medium Risk</v>
      </c>
    </row>
    <row r="38" spans="1:19" ht="15.6" x14ac:dyDescent="0.3">
      <c r="A38" s="36" t="s">
        <v>43</v>
      </c>
      <c r="B38" s="36" t="s">
        <v>308</v>
      </c>
      <c r="C38" s="36" t="s">
        <v>260</v>
      </c>
      <c r="D38" s="37">
        <v>4025536.64</v>
      </c>
      <c r="E38" s="38">
        <v>723299.17453339067</v>
      </c>
      <c r="F38" s="39">
        <v>0.17967770243258566</v>
      </c>
      <c r="G38" s="40">
        <v>0.63561463447516897</v>
      </c>
      <c r="H38" s="41">
        <v>0.8208300055791623</v>
      </c>
      <c r="I38" s="42">
        <v>4</v>
      </c>
      <c r="J38" s="43">
        <v>0.21</v>
      </c>
      <c r="K38" s="51" t="str">
        <f t="shared" si="0"/>
        <v>High Revenue</v>
      </c>
      <c r="L38" s="51" t="str">
        <f t="shared" si="1"/>
        <v>Low Profit</v>
      </c>
      <c r="M38" s="53" t="str">
        <f t="shared" si="2"/>
        <v>Margin Diluters</v>
      </c>
      <c r="N38" s="56" t="str">
        <f t="shared" si="3"/>
        <v>Medium Cost</v>
      </c>
      <c r="O38" s="33">
        <f t="shared" si="4"/>
        <v>0.66666666666666663</v>
      </c>
      <c r="P38" s="57">
        <v>0.21</v>
      </c>
      <c r="Q38" s="48">
        <f t="shared" si="5"/>
        <v>0.1791699944208377</v>
      </c>
      <c r="R38" s="60">
        <f t="shared" si="6"/>
        <v>0.38341766499291796</v>
      </c>
      <c r="S38" s="61" t="str">
        <f t="shared" si="7"/>
        <v>Medium Risk</v>
      </c>
    </row>
    <row r="39" spans="1:19" ht="15.6" x14ac:dyDescent="0.3">
      <c r="A39" s="36" t="s">
        <v>44</v>
      </c>
      <c r="B39" s="36" t="s">
        <v>309</v>
      </c>
      <c r="C39" s="36" t="s">
        <v>260</v>
      </c>
      <c r="D39" s="37">
        <v>4676361.8</v>
      </c>
      <c r="E39" s="38">
        <v>1573432.745351505</v>
      </c>
      <c r="F39" s="39">
        <v>0.33646514376871034</v>
      </c>
      <c r="G39" s="40">
        <v>0.49353324201733068</v>
      </c>
      <c r="H39" s="41">
        <v>0.80352919678822499</v>
      </c>
      <c r="I39" s="42">
        <v>3</v>
      </c>
      <c r="J39" s="43">
        <v>0.14000000000000001</v>
      </c>
      <c r="K39" s="51" t="str">
        <f t="shared" si="0"/>
        <v>High Revenue</v>
      </c>
      <c r="L39" s="51" t="str">
        <f t="shared" si="1"/>
        <v>High Profit</v>
      </c>
      <c r="M39" s="53" t="str">
        <f t="shared" si="2"/>
        <v>Strategic Gold</v>
      </c>
      <c r="N39" s="56" t="str">
        <f t="shared" si="3"/>
        <v>Medium Cost</v>
      </c>
      <c r="O39" s="33">
        <f t="shared" si="4"/>
        <v>0.5</v>
      </c>
      <c r="P39" s="57">
        <v>0.14000000000000001</v>
      </c>
      <c r="Q39" s="48">
        <f t="shared" si="5"/>
        <v>0.19647080321177501</v>
      </c>
      <c r="R39" s="60">
        <f t="shared" si="6"/>
        <v>0.30094124096353253</v>
      </c>
      <c r="S39" s="61" t="str">
        <f t="shared" si="7"/>
        <v>Low Risk</v>
      </c>
    </row>
    <row r="40" spans="1:19" ht="15.6" x14ac:dyDescent="0.3">
      <c r="A40" s="36" t="s">
        <v>45</v>
      </c>
      <c r="B40" s="36" t="s">
        <v>310</v>
      </c>
      <c r="C40" s="36" t="s">
        <v>258</v>
      </c>
      <c r="D40" s="37">
        <v>174741.41999999998</v>
      </c>
      <c r="E40" s="38">
        <v>-29623.042772697569</v>
      </c>
      <c r="F40" s="39">
        <v>-0.16952502029969524</v>
      </c>
      <c r="G40" s="40">
        <v>0.94144822675699913</v>
      </c>
      <c r="H40" s="41">
        <v>0.72385446828685196</v>
      </c>
      <c r="I40" s="42">
        <v>5</v>
      </c>
      <c r="J40" s="43">
        <v>7.0000000000000007E-2</v>
      </c>
      <c r="K40" s="51" t="str">
        <f t="shared" si="0"/>
        <v>Low Revenue</v>
      </c>
      <c r="L40" s="51" t="str">
        <f t="shared" si="1"/>
        <v>Low Profit</v>
      </c>
      <c r="M40" s="53" t="str">
        <f t="shared" si="2"/>
        <v>Value Destroyers</v>
      </c>
      <c r="N40" s="56" t="str">
        <f t="shared" si="3"/>
        <v>High Cost</v>
      </c>
      <c r="O40" s="33">
        <f t="shared" si="4"/>
        <v>0.83333333333333337</v>
      </c>
      <c r="P40" s="57">
        <v>7.0000000000000007E-2</v>
      </c>
      <c r="Q40" s="48">
        <f t="shared" si="5"/>
        <v>0.27614553171314804</v>
      </c>
      <c r="R40" s="60">
        <f t="shared" si="6"/>
        <v>0.43717699284727779</v>
      </c>
      <c r="S40" s="61" t="str">
        <f t="shared" si="7"/>
        <v>Medium Risk</v>
      </c>
    </row>
    <row r="41" spans="1:19" ht="15.6" x14ac:dyDescent="0.3">
      <c r="A41" s="36" t="s">
        <v>46</v>
      </c>
      <c r="B41" s="36" t="s">
        <v>311</v>
      </c>
      <c r="C41" s="36" t="s">
        <v>258</v>
      </c>
      <c r="D41" s="37">
        <v>302262.63999999996</v>
      </c>
      <c r="E41" s="38">
        <v>116816.31262176635</v>
      </c>
      <c r="F41" s="39">
        <v>0.38647287875791186</v>
      </c>
      <c r="G41" s="40">
        <v>0.49301494885375191</v>
      </c>
      <c r="H41" s="41">
        <v>0.65837404411841904</v>
      </c>
      <c r="I41" s="42">
        <v>4</v>
      </c>
      <c r="J41" s="43">
        <v>0.06</v>
      </c>
      <c r="K41" s="51" t="str">
        <f t="shared" si="0"/>
        <v>Low Revenue</v>
      </c>
      <c r="L41" s="51" t="str">
        <f t="shared" si="1"/>
        <v>High Profit</v>
      </c>
      <c r="M41" s="53" t="str">
        <f t="shared" si="2"/>
        <v>Hidden Gems</v>
      </c>
      <c r="N41" s="56" t="str">
        <f t="shared" si="3"/>
        <v>Medium Cost</v>
      </c>
      <c r="O41" s="33">
        <f t="shared" si="4"/>
        <v>0.66666666666666663</v>
      </c>
      <c r="P41" s="57">
        <v>0.06</v>
      </c>
      <c r="Q41" s="48">
        <f t="shared" si="5"/>
        <v>0.34162595588158096</v>
      </c>
      <c r="R41" s="60">
        <f t="shared" si="6"/>
        <v>0.38715445343114097</v>
      </c>
      <c r="S41" s="61" t="str">
        <f t="shared" si="7"/>
        <v>Medium Risk</v>
      </c>
    </row>
    <row r="42" spans="1:19" ht="15.6" x14ac:dyDescent="0.3">
      <c r="A42" s="36" t="s">
        <v>47</v>
      </c>
      <c r="B42" s="36" t="s">
        <v>312</v>
      </c>
      <c r="C42" s="36" t="s">
        <v>258</v>
      </c>
      <c r="D42" s="37">
        <v>581656.46</v>
      </c>
      <c r="E42" s="38">
        <v>381114.26579855965</v>
      </c>
      <c r="F42" s="39">
        <v>0.65522226951379459</v>
      </c>
      <c r="G42" s="40">
        <v>0.24705304571017747</v>
      </c>
      <c r="H42" s="41">
        <v>0.67978085779872588</v>
      </c>
      <c r="I42" s="42">
        <v>5</v>
      </c>
      <c r="J42" s="43">
        <v>0.02</v>
      </c>
      <c r="K42" s="51" t="str">
        <f t="shared" si="0"/>
        <v>Low Revenue</v>
      </c>
      <c r="L42" s="51" t="str">
        <f t="shared" si="1"/>
        <v>High Profit</v>
      </c>
      <c r="M42" s="53" t="str">
        <f t="shared" si="2"/>
        <v>Hidden Gems</v>
      </c>
      <c r="N42" s="56" t="str">
        <f t="shared" si="3"/>
        <v>Low Cost</v>
      </c>
      <c r="O42" s="33">
        <f t="shared" si="4"/>
        <v>0.83333333333333337</v>
      </c>
      <c r="P42" s="57">
        <v>0.02</v>
      </c>
      <c r="Q42" s="48">
        <f t="shared" si="5"/>
        <v>0.32021914220127412</v>
      </c>
      <c r="R42" s="60">
        <f t="shared" si="6"/>
        <v>0.43539907599371563</v>
      </c>
      <c r="S42" s="61" t="str">
        <f t="shared" si="7"/>
        <v>Medium Risk</v>
      </c>
    </row>
    <row r="43" spans="1:19" ht="15.6" x14ac:dyDescent="0.3">
      <c r="A43" s="36" t="s">
        <v>48</v>
      </c>
      <c r="B43" s="36" t="s">
        <v>313</v>
      </c>
      <c r="C43" s="36" t="s">
        <v>259</v>
      </c>
      <c r="D43" s="37">
        <v>995050.79999999993</v>
      </c>
      <c r="E43" s="38">
        <v>462203.00118567876</v>
      </c>
      <c r="F43" s="39">
        <v>0.46450191405873831</v>
      </c>
      <c r="G43" s="40">
        <v>0.41419995843428298</v>
      </c>
      <c r="H43" s="41">
        <v>0.78874593530463932</v>
      </c>
      <c r="I43" s="42">
        <v>3</v>
      </c>
      <c r="J43" s="43">
        <v>0.15</v>
      </c>
      <c r="K43" s="51" t="str">
        <f t="shared" si="0"/>
        <v>Low Revenue</v>
      </c>
      <c r="L43" s="51" t="str">
        <f t="shared" si="1"/>
        <v>High Profit</v>
      </c>
      <c r="M43" s="53" t="str">
        <f t="shared" si="2"/>
        <v>Hidden Gems</v>
      </c>
      <c r="N43" s="56" t="str">
        <f t="shared" si="3"/>
        <v>Medium Cost</v>
      </c>
      <c r="O43" s="33">
        <f t="shared" si="4"/>
        <v>0.5</v>
      </c>
      <c r="P43" s="57">
        <v>0.15</v>
      </c>
      <c r="Q43" s="48">
        <f t="shared" si="5"/>
        <v>0.21125406469536068</v>
      </c>
      <c r="R43" s="60">
        <f t="shared" si="6"/>
        <v>0.30837621940860821</v>
      </c>
      <c r="S43" s="61" t="str">
        <f t="shared" si="7"/>
        <v>Low Risk</v>
      </c>
    </row>
    <row r="44" spans="1:19" ht="15.6" x14ac:dyDescent="0.3">
      <c r="A44" s="36" t="s">
        <v>49</v>
      </c>
      <c r="B44" s="36" t="s">
        <v>314</v>
      </c>
      <c r="C44" s="36" t="s">
        <v>259</v>
      </c>
      <c r="D44" s="37">
        <v>1275743.7000000002</v>
      </c>
      <c r="E44" s="38">
        <v>674216.16568347369</v>
      </c>
      <c r="F44" s="39">
        <v>0.52848872832644489</v>
      </c>
      <c r="G44" s="40">
        <v>0.36340371502520447</v>
      </c>
      <c r="H44" s="41">
        <v>0.77143210874636081</v>
      </c>
      <c r="I44" s="42">
        <v>2</v>
      </c>
      <c r="J44" s="43">
        <v>0.18</v>
      </c>
      <c r="K44" s="51" t="str">
        <f t="shared" si="0"/>
        <v>High Revenue</v>
      </c>
      <c r="L44" s="51" t="str">
        <f t="shared" si="1"/>
        <v>High Profit</v>
      </c>
      <c r="M44" s="53" t="str">
        <f t="shared" si="2"/>
        <v>Strategic Gold</v>
      </c>
      <c r="N44" s="56" t="str">
        <f t="shared" si="3"/>
        <v>Low Cost</v>
      </c>
      <c r="O44" s="33">
        <f t="shared" si="4"/>
        <v>0.33333333333333331</v>
      </c>
      <c r="P44" s="57">
        <v>0.18</v>
      </c>
      <c r="Q44" s="48">
        <f t="shared" si="5"/>
        <v>0.22856789125363919</v>
      </c>
      <c r="R44" s="60">
        <f t="shared" si="6"/>
        <v>0.25590370070942509</v>
      </c>
      <c r="S44" s="61" t="str">
        <f t="shared" si="7"/>
        <v>Low Risk</v>
      </c>
    </row>
    <row r="45" spans="1:19" ht="15.6" x14ac:dyDescent="0.3">
      <c r="A45" s="36" t="s">
        <v>50</v>
      </c>
      <c r="B45" s="36" t="s">
        <v>315</v>
      </c>
      <c r="C45" s="36" t="s">
        <v>260</v>
      </c>
      <c r="D45" s="37">
        <v>12383669.700000001</v>
      </c>
      <c r="E45" s="38">
        <v>9724786.0198734738</v>
      </c>
      <c r="F45" s="39">
        <v>0.78529113384487903</v>
      </c>
      <c r="G45" s="40">
        <v>0.13073830610969864</v>
      </c>
      <c r="H45" s="41">
        <v>0.90098217152379301</v>
      </c>
      <c r="I45" s="42">
        <v>1</v>
      </c>
      <c r="J45" s="43">
        <v>0.1</v>
      </c>
      <c r="K45" s="51" t="str">
        <f t="shared" si="0"/>
        <v>High Revenue</v>
      </c>
      <c r="L45" s="51" t="str">
        <f t="shared" si="1"/>
        <v>High Profit</v>
      </c>
      <c r="M45" s="53" t="str">
        <f t="shared" si="2"/>
        <v>Strategic Gold</v>
      </c>
      <c r="N45" s="56" t="str">
        <f t="shared" si="3"/>
        <v>Low Cost</v>
      </c>
      <c r="O45" s="33">
        <f t="shared" si="4"/>
        <v>0.16666666666666666</v>
      </c>
      <c r="P45" s="57">
        <v>0.1</v>
      </c>
      <c r="Q45" s="48">
        <f t="shared" si="5"/>
        <v>9.9017828476206993E-2</v>
      </c>
      <c r="R45" s="60">
        <f t="shared" si="6"/>
        <v>0.12637201520952876</v>
      </c>
      <c r="S45" s="61" t="str">
        <f t="shared" si="7"/>
        <v>Low Risk</v>
      </c>
    </row>
    <row r="46" spans="1:19" ht="15.6" x14ac:dyDescent="0.3">
      <c r="A46" s="36" t="s">
        <v>51</v>
      </c>
      <c r="B46" s="36" t="s">
        <v>316</v>
      </c>
      <c r="C46" s="36" t="s">
        <v>258</v>
      </c>
      <c r="D46" s="37">
        <v>346128.95999999996</v>
      </c>
      <c r="E46" s="38">
        <v>84317.665657342193</v>
      </c>
      <c r="F46" s="39">
        <v>0.24360188080576153</v>
      </c>
      <c r="G46" s="40">
        <v>0.61534868391249331</v>
      </c>
      <c r="H46" s="41">
        <v>0.53416802813320885</v>
      </c>
      <c r="I46" s="42">
        <v>3</v>
      </c>
      <c r="J46" s="43">
        <v>0.04</v>
      </c>
      <c r="K46" s="51" t="str">
        <f t="shared" si="0"/>
        <v>Low Revenue</v>
      </c>
      <c r="L46" s="51" t="str">
        <f t="shared" si="1"/>
        <v>Low Profit</v>
      </c>
      <c r="M46" s="53" t="str">
        <f t="shared" si="2"/>
        <v>Value Destroyers</v>
      </c>
      <c r="N46" s="56" t="str">
        <f t="shared" si="3"/>
        <v>Medium Cost</v>
      </c>
      <c r="O46" s="33">
        <f t="shared" si="4"/>
        <v>0.5</v>
      </c>
      <c r="P46" s="57">
        <v>0.04</v>
      </c>
      <c r="Q46" s="48">
        <f t="shared" si="5"/>
        <v>0.46583197186679115</v>
      </c>
      <c r="R46" s="60">
        <f t="shared" si="6"/>
        <v>0.35174959156003738</v>
      </c>
      <c r="S46" s="61" t="str">
        <f t="shared" si="7"/>
        <v>Medium Risk</v>
      </c>
    </row>
    <row r="47" spans="1:19" ht="15.6" x14ac:dyDescent="0.3">
      <c r="A47" s="36" t="s">
        <v>52</v>
      </c>
      <c r="B47" s="36" t="s">
        <v>317</v>
      </c>
      <c r="C47" s="36" t="s">
        <v>260</v>
      </c>
      <c r="D47" s="37">
        <v>5873105.7299999995</v>
      </c>
      <c r="E47" s="38">
        <v>1888552.5826278673</v>
      </c>
      <c r="F47" s="39">
        <v>0.32155943881294086</v>
      </c>
      <c r="G47" s="40">
        <v>0.49821510705205713</v>
      </c>
      <c r="H47" s="41">
        <v>0.89155921678530714</v>
      </c>
      <c r="I47" s="42">
        <v>6</v>
      </c>
      <c r="J47" s="43">
        <v>0.17</v>
      </c>
      <c r="K47" s="51" t="str">
        <f t="shared" si="0"/>
        <v>High Revenue</v>
      </c>
      <c r="L47" s="51" t="str">
        <f t="shared" si="1"/>
        <v>High Profit</v>
      </c>
      <c r="M47" s="53" t="str">
        <f t="shared" si="2"/>
        <v>Strategic Gold</v>
      </c>
      <c r="N47" s="56" t="str">
        <f t="shared" si="3"/>
        <v>Medium Cost</v>
      </c>
      <c r="O47" s="33">
        <f t="shared" si="4"/>
        <v>1</v>
      </c>
      <c r="P47" s="57">
        <v>0.17</v>
      </c>
      <c r="Q47" s="48">
        <f t="shared" si="5"/>
        <v>0.10844078321469286</v>
      </c>
      <c r="R47" s="60">
        <f t="shared" si="6"/>
        <v>0.48353223496440789</v>
      </c>
      <c r="S47" s="61" t="str">
        <f t="shared" si="7"/>
        <v>Medium Risk</v>
      </c>
    </row>
    <row r="48" spans="1:19" ht="15.6" x14ac:dyDescent="0.3">
      <c r="A48" s="36" t="s">
        <v>53</v>
      </c>
      <c r="B48" s="36" t="s">
        <v>318</v>
      </c>
      <c r="C48" s="36" t="s">
        <v>259</v>
      </c>
      <c r="D48" s="37">
        <v>1114101.1200000001</v>
      </c>
      <c r="E48" s="38">
        <v>366938.5482734883</v>
      </c>
      <c r="F48" s="39">
        <v>0.3293583873908037</v>
      </c>
      <c r="G48" s="40">
        <v>0.54419656269621197</v>
      </c>
      <c r="H48" s="41">
        <v>0.74757498131785505</v>
      </c>
      <c r="I48" s="42">
        <v>3</v>
      </c>
      <c r="J48" s="43">
        <v>0.12</v>
      </c>
      <c r="K48" s="51" t="str">
        <f t="shared" si="0"/>
        <v>Low Revenue</v>
      </c>
      <c r="L48" s="51" t="str">
        <f t="shared" si="1"/>
        <v>High Profit</v>
      </c>
      <c r="M48" s="53" t="str">
        <f t="shared" si="2"/>
        <v>Hidden Gems</v>
      </c>
      <c r="N48" s="56" t="str">
        <f t="shared" si="3"/>
        <v>Medium Cost</v>
      </c>
      <c r="O48" s="33">
        <f t="shared" si="4"/>
        <v>0.5</v>
      </c>
      <c r="P48" s="57">
        <v>0.12</v>
      </c>
      <c r="Q48" s="48">
        <f t="shared" si="5"/>
        <v>0.25242501868214495</v>
      </c>
      <c r="R48" s="60">
        <f t="shared" si="6"/>
        <v>0.31172750560464352</v>
      </c>
      <c r="S48" s="61" t="str">
        <f t="shared" si="7"/>
        <v>Low Risk</v>
      </c>
    </row>
    <row r="49" spans="1:19" ht="15.6" x14ac:dyDescent="0.3">
      <c r="A49" s="36" t="s">
        <v>54</v>
      </c>
      <c r="B49" s="36" t="s">
        <v>319</v>
      </c>
      <c r="C49" s="36" t="s">
        <v>260</v>
      </c>
      <c r="D49" s="37">
        <v>9092036.1600000001</v>
      </c>
      <c r="E49" s="38">
        <v>5895800.8230676111</v>
      </c>
      <c r="F49" s="39">
        <v>0.64845769630854733</v>
      </c>
      <c r="G49" s="40">
        <v>0.23257826550483054</v>
      </c>
      <c r="H49" s="41">
        <v>0.94918287719974337</v>
      </c>
      <c r="I49" s="42">
        <v>2</v>
      </c>
      <c r="J49" s="43">
        <v>0.19</v>
      </c>
      <c r="K49" s="51" t="str">
        <f t="shared" si="0"/>
        <v>High Revenue</v>
      </c>
      <c r="L49" s="51" t="str">
        <f t="shared" si="1"/>
        <v>High Profit</v>
      </c>
      <c r="M49" s="53" t="str">
        <f t="shared" si="2"/>
        <v>Strategic Gold</v>
      </c>
      <c r="N49" s="56" t="str">
        <f t="shared" si="3"/>
        <v>Low Cost</v>
      </c>
      <c r="O49" s="33">
        <f t="shared" si="4"/>
        <v>0.33333333333333331</v>
      </c>
      <c r="P49" s="57">
        <v>0.19</v>
      </c>
      <c r="Q49" s="48">
        <f t="shared" si="5"/>
        <v>5.0817122800256631E-2</v>
      </c>
      <c r="R49" s="60">
        <f t="shared" si="6"/>
        <v>0.20557847017341033</v>
      </c>
      <c r="S49" s="61" t="str">
        <f t="shared" si="7"/>
        <v>Low Risk</v>
      </c>
    </row>
    <row r="50" spans="1:19" ht="15.6" x14ac:dyDescent="0.3">
      <c r="A50" s="36" t="s">
        <v>55</v>
      </c>
      <c r="B50" s="36" t="s">
        <v>320</v>
      </c>
      <c r="C50" s="36" t="s">
        <v>258</v>
      </c>
      <c r="D50" s="37">
        <v>385982.8</v>
      </c>
      <c r="E50" s="38">
        <v>121922.51603492987</v>
      </c>
      <c r="F50" s="39">
        <v>0.31587551578705025</v>
      </c>
      <c r="G50" s="40">
        <v>0.54507610183666222</v>
      </c>
      <c r="H50" s="41">
        <v>0.65070482762384785</v>
      </c>
      <c r="I50" s="42">
        <v>1</v>
      </c>
      <c r="J50" s="43">
        <v>0.02</v>
      </c>
      <c r="K50" s="51" t="str">
        <f t="shared" si="0"/>
        <v>Low Revenue</v>
      </c>
      <c r="L50" s="51" t="str">
        <f t="shared" si="1"/>
        <v>High Profit</v>
      </c>
      <c r="M50" s="53" t="str">
        <f t="shared" si="2"/>
        <v>Hidden Gems</v>
      </c>
      <c r="N50" s="56" t="str">
        <f t="shared" si="3"/>
        <v>Medium Cost</v>
      </c>
      <c r="O50" s="33">
        <f t="shared" si="4"/>
        <v>0.16666666666666666</v>
      </c>
      <c r="P50" s="57">
        <v>0.02</v>
      </c>
      <c r="Q50" s="48">
        <f t="shared" si="5"/>
        <v>0.34929517237615215</v>
      </c>
      <c r="R50" s="60">
        <f t="shared" si="6"/>
        <v>0.17745521837951231</v>
      </c>
      <c r="S50" s="61" t="str">
        <f t="shared" si="7"/>
        <v>Low Risk</v>
      </c>
    </row>
    <row r="51" spans="1:19" ht="15.6" x14ac:dyDescent="0.3">
      <c r="A51" s="36" t="s">
        <v>56</v>
      </c>
      <c r="B51" s="36" t="s">
        <v>321</v>
      </c>
      <c r="C51" s="36" t="s">
        <v>260</v>
      </c>
      <c r="D51" s="37">
        <v>9398049.5200000014</v>
      </c>
      <c r="E51" s="38">
        <v>6381449.9786228798</v>
      </c>
      <c r="F51" s="39">
        <v>0.67901855220516849</v>
      </c>
      <c r="G51" s="40">
        <v>0.2031155502998456</v>
      </c>
      <c r="H51" s="41">
        <v>0.75881356612826756</v>
      </c>
      <c r="I51" s="42">
        <v>6</v>
      </c>
      <c r="J51" s="43">
        <v>0.18</v>
      </c>
      <c r="K51" s="51" t="str">
        <f t="shared" si="0"/>
        <v>High Revenue</v>
      </c>
      <c r="L51" s="51" t="str">
        <f t="shared" si="1"/>
        <v>High Profit</v>
      </c>
      <c r="M51" s="53" t="str">
        <f t="shared" si="2"/>
        <v>Strategic Gold</v>
      </c>
      <c r="N51" s="56" t="str">
        <f t="shared" si="3"/>
        <v>Low Cost</v>
      </c>
      <c r="O51" s="33">
        <f t="shared" si="4"/>
        <v>1</v>
      </c>
      <c r="P51" s="57">
        <v>0.18</v>
      </c>
      <c r="Q51" s="48">
        <f t="shared" si="5"/>
        <v>0.24118643387173244</v>
      </c>
      <c r="R51" s="60">
        <f t="shared" si="6"/>
        <v>0.52635593016151971</v>
      </c>
      <c r="S51" s="61" t="str">
        <f t="shared" si="7"/>
        <v>Medium Risk</v>
      </c>
    </row>
    <row r="52" spans="1:19" ht="15.6" x14ac:dyDescent="0.3">
      <c r="A52" s="36" t="s">
        <v>57</v>
      </c>
      <c r="B52" s="36" t="s">
        <v>322</v>
      </c>
      <c r="C52" s="36" t="s">
        <v>259</v>
      </c>
      <c r="D52" s="37">
        <v>815955.84</v>
      </c>
      <c r="E52" s="38">
        <v>471993.47286493413</v>
      </c>
      <c r="F52" s="39">
        <v>0.5784546782151031</v>
      </c>
      <c r="G52" s="40">
        <v>0.29687881148077816</v>
      </c>
      <c r="H52" s="41">
        <v>0.76036338862608921</v>
      </c>
      <c r="I52" s="42">
        <v>0</v>
      </c>
      <c r="J52" s="43">
        <v>0.02</v>
      </c>
      <c r="K52" s="51" t="str">
        <f t="shared" si="0"/>
        <v>Low Revenue</v>
      </c>
      <c r="L52" s="51" t="str">
        <f t="shared" si="1"/>
        <v>High Profit</v>
      </c>
      <c r="M52" s="53" t="str">
        <f t="shared" si="2"/>
        <v>Hidden Gems</v>
      </c>
      <c r="N52" s="56" t="str">
        <f t="shared" si="3"/>
        <v>Low Cost</v>
      </c>
      <c r="O52" s="33">
        <f t="shared" si="4"/>
        <v>0</v>
      </c>
      <c r="P52" s="57">
        <v>0.02</v>
      </c>
      <c r="Q52" s="48">
        <f t="shared" si="5"/>
        <v>0.23963661137391079</v>
      </c>
      <c r="R52" s="60">
        <f t="shared" si="6"/>
        <v>7.7890983412173237E-2</v>
      </c>
      <c r="S52" s="61" t="str">
        <f t="shared" si="7"/>
        <v>Low Risk</v>
      </c>
    </row>
    <row r="53" spans="1:19" ht="15.6" x14ac:dyDescent="0.3">
      <c r="A53" s="36" t="s">
        <v>58</v>
      </c>
      <c r="B53" s="36" t="s">
        <v>323</v>
      </c>
      <c r="C53" s="36" t="s">
        <v>258</v>
      </c>
      <c r="D53" s="37">
        <v>525155.18999999994</v>
      </c>
      <c r="E53" s="38">
        <v>307862.76703172154</v>
      </c>
      <c r="F53" s="39">
        <v>0.58623198036321711</v>
      </c>
      <c r="G53" s="40">
        <v>0.31388816703877576</v>
      </c>
      <c r="H53" s="41">
        <v>0.64643164657740271</v>
      </c>
      <c r="I53" s="42">
        <v>2</v>
      </c>
      <c r="J53" s="43">
        <v>7.0000000000000007E-2</v>
      </c>
      <c r="K53" s="51" t="str">
        <f t="shared" si="0"/>
        <v>Low Revenue</v>
      </c>
      <c r="L53" s="51" t="str">
        <f t="shared" si="1"/>
        <v>High Profit</v>
      </c>
      <c r="M53" s="53" t="str">
        <f t="shared" si="2"/>
        <v>Hidden Gems</v>
      </c>
      <c r="N53" s="56" t="str">
        <f t="shared" si="3"/>
        <v>Low Cost</v>
      </c>
      <c r="O53" s="33">
        <f t="shared" si="4"/>
        <v>0.33333333333333331</v>
      </c>
      <c r="P53" s="57">
        <v>7.0000000000000007E-2</v>
      </c>
      <c r="Q53" s="48">
        <f t="shared" si="5"/>
        <v>0.35356835342259729</v>
      </c>
      <c r="R53" s="60">
        <f t="shared" si="6"/>
        <v>0.26040383936011252</v>
      </c>
      <c r="S53" s="61" t="str">
        <f t="shared" si="7"/>
        <v>Low Risk</v>
      </c>
    </row>
    <row r="54" spans="1:19" ht="15.6" x14ac:dyDescent="0.3">
      <c r="A54" s="36" t="s">
        <v>59</v>
      </c>
      <c r="B54" s="36" t="s">
        <v>324</v>
      </c>
      <c r="C54" s="36" t="s">
        <v>260</v>
      </c>
      <c r="D54" s="37">
        <v>5741049.75</v>
      </c>
      <c r="E54" s="38">
        <v>3390556.2053451119</v>
      </c>
      <c r="F54" s="39">
        <v>0.59058122695158877</v>
      </c>
      <c r="G54" s="40">
        <v>0.27365901157710748</v>
      </c>
      <c r="H54" s="41">
        <v>0.88739044915969034</v>
      </c>
      <c r="I54" s="42">
        <v>1</v>
      </c>
      <c r="J54" s="43">
        <v>0.25</v>
      </c>
      <c r="K54" s="51" t="str">
        <f t="shared" si="0"/>
        <v>High Revenue</v>
      </c>
      <c r="L54" s="51" t="str">
        <f t="shared" si="1"/>
        <v>High Profit</v>
      </c>
      <c r="M54" s="53" t="str">
        <f t="shared" si="2"/>
        <v>Strategic Gold</v>
      </c>
      <c r="N54" s="56" t="str">
        <f t="shared" si="3"/>
        <v>Low Cost</v>
      </c>
      <c r="O54" s="33">
        <f t="shared" si="4"/>
        <v>0.16666666666666666</v>
      </c>
      <c r="P54" s="57">
        <v>0.25</v>
      </c>
      <c r="Q54" s="48">
        <f t="shared" si="5"/>
        <v>0.11260955084030966</v>
      </c>
      <c r="R54" s="60">
        <f t="shared" si="6"/>
        <v>0.17544953191875956</v>
      </c>
      <c r="S54" s="61" t="str">
        <f t="shared" si="7"/>
        <v>Low Risk</v>
      </c>
    </row>
    <row r="55" spans="1:19" ht="15.6" x14ac:dyDescent="0.3">
      <c r="A55" s="36" t="s">
        <v>60</v>
      </c>
      <c r="B55" s="36" t="s">
        <v>325</v>
      </c>
      <c r="C55" s="36" t="s">
        <v>259</v>
      </c>
      <c r="D55" s="37">
        <v>1945316</v>
      </c>
      <c r="E55" s="38">
        <v>1185831.4063777013</v>
      </c>
      <c r="F55" s="39">
        <v>0.60958291937027265</v>
      </c>
      <c r="G55" s="40">
        <v>0.27709122836598271</v>
      </c>
      <c r="H55" s="41">
        <v>0.75014267235539644</v>
      </c>
      <c r="I55" s="42">
        <v>4</v>
      </c>
      <c r="J55" s="43">
        <v>0.2</v>
      </c>
      <c r="K55" s="51" t="str">
        <f t="shared" si="0"/>
        <v>High Revenue</v>
      </c>
      <c r="L55" s="51" t="str">
        <f t="shared" si="1"/>
        <v>High Profit</v>
      </c>
      <c r="M55" s="53" t="str">
        <f t="shared" si="2"/>
        <v>Strategic Gold</v>
      </c>
      <c r="N55" s="56" t="str">
        <f t="shared" si="3"/>
        <v>Low Cost</v>
      </c>
      <c r="O55" s="33">
        <f t="shared" si="4"/>
        <v>0.66666666666666663</v>
      </c>
      <c r="P55" s="57">
        <v>0.2</v>
      </c>
      <c r="Q55" s="48">
        <f t="shared" si="5"/>
        <v>0.24985732764460356</v>
      </c>
      <c r="R55" s="60">
        <f t="shared" si="6"/>
        <v>0.40162386496004771</v>
      </c>
      <c r="S55" s="61" t="str">
        <f t="shared" si="7"/>
        <v>Medium Risk</v>
      </c>
    </row>
    <row r="56" spans="1:19" ht="15.6" x14ac:dyDescent="0.3">
      <c r="A56" s="36" t="s">
        <v>61</v>
      </c>
      <c r="B56" s="36" t="s">
        <v>326</v>
      </c>
      <c r="C56" s="36" t="s">
        <v>259</v>
      </c>
      <c r="D56" s="37">
        <v>1516044.7</v>
      </c>
      <c r="E56" s="38">
        <v>902220.79161450174</v>
      </c>
      <c r="F56" s="39">
        <v>0.59511490104117759</v>
      </c>
      <c r="G56" s="40">
        <v>0.2881907109994844</v>
      </c>
      <c r="H56" s="41">
        <v>0.74765409598119104</v>
      </c>
      <c r="I56" s="42">
        <v>2</v>
      </c>
      <c r="J56" s="43">
        <v>0.15</v>
      </c>
      <c r="K56" s="51" t="str">
        <f t="shared" si="0"/>
        <v>High Revenue</v>
      </c>
      <c r="L56" s="51" t="str">
        <f t="shared" si="1"/>
        <v>High Profit</v>
      </c>
      <c r="M56" s="53" t="str">
        <f t="shared" si="2"/>
        <v>Strategic Gold</v>
      </c>
      <c r="N56" s="56" t="str">
        <f t="shared" si="3"/>
        <v>Low Cost</v>
      </c>
      <c r="O56" s="33">
        <f t="shared" si="4"/>
        <v>0.33333333333333331</v>
      </c>
      <c r="P56" s="57">
        <v>0.15</v>
      </c>
      <c r="Q56" s="48">
        <f t="shared" si="5"/>
        <v>0.25234590401880896</v>
      </c>
      <c r="R56" s="60">
        <f t="shared" si="6"/>
        <v>0.25403710453897604</v>
      </c>
      <c r="S56" s="61" t="str">
        <f t="shared" si="7"/>
        <v>Low Risk</v>
      </c>
    </row>
    <row r="57" spans="1:19" ht="15.6" x14ac:dyDescent="0.3">
      <c r="A57" s="36" t="s">
        <v>62</v>
      </c>
      <c r="B57" s="36" t="s">
        <v>327</v>
      </c>
      <c r="C57" s="36" t="s">
        <v>258</v>
      </c>
      <c r="D57" s="37">
        <v>371656.74</v>
      </c>
      <c r="E57" s="38">
        <v>144952.46828853054</v>
      </c>
      <c r="F57" s="39">
        <v>0.39001705791352131</v>
      </c>
      <c r="G57" s="40">
        <v>0.49440782373541781</v>
      </c>
      <c r="H57" s="41">
        <v>0.56198456976712463</v>
      </c>
      <c r="I57" s="42">
        <v>1</v>
      </c>
      <c r="J57" s="43">
        <v>0.09</v>
      </c>
      <c r="K57" s="51" t="str">
        <f t="shared" si="0"/>
        <v>Low Revenue</v>
      </c>
      <c r="L57" s="51" t="str">
        <f t="shared" si="1"/>
        <v>High Profit</v>
      </c>
      <c r="M57" s="53" t="str">
        <f t="shared" si="2"/>
        <v>Hidden Gems</v>
      </c>
      <c r="N57" s="56" t="str">
        <f t="shared" si="3"/>
        <v>Medium Cost</v>
      </c>
      <c r="O57" s="33">
        <f t="shared" si="4"/>
        <v>0.16666666666666666</v>
      </c>
      <c r="P57" s="57">
        <v>0.09</v>
      </c>
      <c r="Q57" s="48">
        <f t="shared" si="5"/>
        <v>0.43801543023287537</v>
      </c>
      <c r="R57" s="60">
        <f t="shared" si="6"/>
        <v>0.22507129573652929</v>
      </c>
      <c r="S57" s="61" t="str">
        <f t="shared" si="7"/>
        <v>Low Risk</v>
      </c>
    </row>
    <row r="58" spans="1:19" ht="15.6" x14ac:dyDescent="0.3">
      <c r="A58" s="36" t="s">
        <v>63</v>
      </c>
      <c r="B58" s="36" t="s">
        <v>328</v>
      </c>
      <c r="C58" s="36" t="s">
        <v>258</v>
      </c>
      <c r="D58" s="37">
        <v>302114</v>
      </c>
      <c r="E58" s="38">
        <v>138824.34245983843</v>
      </c>
      <c r="F58" s="39">
        <v>0.45950979583812213</v>
      </c>
      <c r="G58" s="40">
        <v>0.41649840788576498</v>
      </c>
      <c r="H58" s="41">
        <v>0.74546023891115887</v>
      </c>
      <c r="I58" s="42">
        <v>2</v>
      </c>
      <c r="J58" s="43">
        <v>0</v>
      </c>
      <c r="K58" s="51" t="str">
        <f t="shared" si="0"/>
        <v>Low Revenue</v>
      </c>
      <c r="L58" s="51" t="str">
        <f t="shared" si="1"/>
        <v>High Profit</v>
      </c>
      <c r="M58" s="53" t="str">
        <f t="shared" si="2"/>
        <v>Hidden Gems</v>
      </c>
      <c r="N58" s="56" t="str">
        <f t="shared" si="3"/>
        <v>Medium Cost</v>
      </c>
      <c r="O58" s="33">
        <f t="shared" si="4"/>
        <v>0.33333333333333331</v>
      </c>
      <c r="P58" s="57">
        <v>0</v>
      </c>
      <c r="Q58" s="48">
        <f t="shared" si="5"/>
        <v>0.25453976108884113</v>
      </c>
      <c r="R58" s="60">
        <f t="shared" si="6"/>
        <v>0.20969526165998567</v>
      </c>
      <c r="S58" s="61" t="str">
        <f t="shared" si="7"/>
        <v>Low Risk</v>
      </c>
    </row>
    <row r="59" spans="1:19" ht="15.6" x14ac:dyDescent="0.3">
      <c r="A59" s="36" t="s">
        <v>64</v>
      </c>
      <c r="B59" s="36" t="s">
        <v>329</v>
      </c>
      <c r="C59" s="36" t="s">
        <v>258</v>
      </c>
      <c r="D59" s="37">
        <v>453006.49</v>
      </c>
      <c r="E59" s="38">
        <v>295439.25761854229</v>
      </c>
      <c r="F59" s="39">
        <v>0.65217444813769065</v>
      </c>
      <c r="G59" s="40">
        <v>0.24781101921961426</v>
      </c>
      <c r="H59" s="41">
        <v>0.58629641222171991</v>
      </c>
      <c r="I59" s="42">
        <v>4</v>
      </c>
      <c r="J59" s="43">
        <v>0.03</v>
      </c>
      <c r="K59" s="51" t="str">
        <f t="shared" si="0"/>
        <v>Low Revenue</v>
      </c>
      <c r="L59" s="51" t="str">
        <f t="shared" si="1"/>
        <v>High Profit</v>
      </c>
      <c r="M59" s="53" t="str">
        <f t="shared" si="2"/>
        <v>Hidden Gems</v>
      </c>
      <c r="N59" s="56" t="str">
        <f t="shared" si="3"/>
        <v>Low Cost</v>
      </c>
      <c r="O59" s="33">
        <f t="shared" si="4"/>
        <v>0.66666666666666663</v>
      </c>
      <c r="P59" s="57">
        <v>0.03</v>
      </c>
      <c r="Q59" s="48">
        <f t="shared" si="5"/>
        <v>0.41370358777828009</v>
      </c>
      <c r="R59" s="60">
        <f t="shared" si="6"/>
        <v>0.39977774300015068</v>
      </c>
      <c r="S59" s="61" t="str">
        <f t="shared" si="7"/>
        <v>Medium Risk</v>
      </c>
    </row>
    <row r="60" spans="1:19" ht="15.6" x14ac:dyDescent="0.3">
      <c r="A60" s="36" t="s">
        <v>65</v>
      </c>
      <c r="B60" s="36" t="s">
        <v>330</v>
      </c>
      <c r="C60" s="36" t="s">
        <v>259</v>
      </c>
      <c r="D60" s="37">
        <v>1308117.6199999999</v>
      </c>
      <c r="E60" s="38">
        <v>899033.04109054757</v>
      </c>
      <c r="F60" s="39">
        <v>0.68727232730841714</v>
      </c>
      <c r="G60" s="40">
        <v>0.19870537329815954</v>
      </c>
      <c r="H60" s="41">
        <v>0.77537284946123253</v>
      </c>
      <c r="I60" s="42">
        <v>1</v>
      </c>
      <c r="J60" s="43">
        <v>0.14000000000000001</v>
      </c>
      <c r="K60" s="51" t="str">
        <f t="shared" si="0"/>
        <v>High Revenue</v>
      </c>
      <c r="L60" s="51" t="str">
        <f t="shared" si="1"/>
        <v>High Profit</v>
      </c>
      <c r="M60" s="53" t="str">
        <f t="shared" si="2"/>
        <v>Strategic Gold</v>
      </c>
      <c r="N60" s="56" t="str">
        <f t="shared" si="3"/>
        <v>Low Cost</v>
      </c>
      <c r="O60" s="33">
        <f t="shared" si="4"/>
        <v>0.16666666666666666</v>
      </c>
      <c r="P60" s="57">
        <v>0.14000000000000001</v>
      </c>
      <c r="Q60" s="48">
        <f t="shared" si="5"/>
        <v>0.22462715053876747</v>
      </c>
      <c r="R60" s="60">
        <f t="shared" si="6"/>
        <v>0.17605481182829691</v>
      </c>
      <c r="S60" s="61" t="str">
        <f t="shared" si="7"/>
        <v>Low Risk</v>
      </c>
    </row>
    <row r="61" spans="1:19" ht="15.6" x14ac:dyDescent="0.3">
      <c r="A61" s="36" t="s">
        <v>66</v>
      </c>
      <c r="B61" s="36" t="s">
        <v>331</v>
      </c>
      <c r="C61" s="36" t="s">
        <v>260</v>
      </c>
      <c r="D61" s="37">
        <v>4757901.9300000006</v>
      </c>
      <c r="E61" s="38">
        <v>1955735.6568873446</v>
      </c>
      <c r="F61" s="39">
        <v>0.4110500144098902</v>
      </c>
      <c r="G61" s="40">
        <v>0.42436982302407394</v>
      </c>
      <c r="H61" s="41">
        <v>0.78987677658040156</v>
      </c>
      <c r="I61" s="42">
        <v>6</v>
      </c>
      <c r="J61" s="43">
        <v>0.19</v>
      </c>
      <c r="K61" s="51" t="str">
        <f t="shared" si="0"/>
        <v>High Revenue</v>
      </c>
      <c r="L61" s="51" t="str">
        <f t="shared" si="1"/>
        <v>High Profit</v>
      </c>
      <c r="M61" s="53" t="str">
        <f t="shared" si="2"/>
        <v>Strategic Gold</v>
      </c>
      <c r="N61" s="56" t="str">
        <f t="shared" si="3"/>
        <v>Medium Cost</v>
      </c>
      <c r="O61" s="33">
        <f t="shared" si="4"/>
        <v>1</v>
      </c>
      <c r="P61" s="57">
        <v>0.19</v>
      </c>
      <c r="Q61" s="48">
        <f t="shared" si="5"/>
        <v>0.21012322341959844</v>
      </c>
      <c r="R61" s="60">
        <f t="shared" si="6"/>
        <v>0.52003696702587954</v>
      </c>
      <c r="S61" s="61" t="str">
        <f t="shared" si="7"/>
        <v>Medium Risk</v>
      </c>
    </row>
    <row r="62" spans="1:19" ht="15.6" x14ac:dyDescent="0.3">
      <c r="A62" s="36" t="s">
        <v>67</v>
      </c>
      <c r="B62" s="36" t="s">
        <v>332</v>
      </c>
      <c r="C62" s="36" t="s">
        <v>260</v>
      </c>
      <c r="D62" s="37">
        <v>5353215.12</v>
      </c>
      <c r="E62" s="38">
        <v>2892511.8237441331</v>
      </c>
      <c r="F62" s="39">
        <v>0.54033169953090421</v>
      </c>
      <c r="G62" s="40">
        <v>0.33179873406619237</v>
      </c>
      <c r="H62" s="41">
        <v>0.83898911448341029</v>
      </c>
      <c r="I62" s="42">
        <v>5</v>
      </c>
      <c r="J62" s="43">
        <v>0.12</v>
      </c>
      <c r="K62" s="51" t="str">
        <f t="shared" si="0"/>
        <v>High Revenue</v>
      </c>
      <c r="L62" s="51" t="str">
        <f t="shared" si="1"/>
        <v>High Profit</v>
      </c>
      <c r="M62" s="53" t="str">
        <f t="shared" si="2"/>
        <v>Strategic Gold</v>
      </c>
      <c r="N62" s="56" t="str">
        <f t="shared" si="3"/>
        <v>Low Cost</v>
      </c>
      <c r="O62" s="33">
        <f t="shared" si="4"/>
        <v>0.83333333333333337</v>
      </c>
      <c r="P62" s="57">
        <v>0.12</v>
      </c>
      <c r="Q62" s="48">
        <f t="shared" si="5"/>
        <v>0.16101088551658971</v>
      </c>
      <c r="R62" s="60">
        <f t="shared" si="6"/>
        <v>0.41763659898831024</v>
      </c>
      <c r="S62" s="61" t="str">
        <f t="shared" si="7"/>
        <v>Medium Risk</v>
      </c>
    </row>
    <row r="63" spans="1:19" ht="15.6" x14ac:dyDescent="0.3">
      <c r="A63" s="36" t="s">
        <v>68</v>
      </c>
      <c r="B63" s="36" t="s">
        <v>333</v>
      </c>
      <c r="C63" s="36" t="s">
        <v>258</v>
      </c>
      <c r="D63" s="37">
        <v>569798.6</v>
      </c>
      <c r="E63" s="38">
        <v>273236.21711336379</v>
      </c>
      <c r="F63" s="39">
        <v>0.47953121877337679</v>
      </c>
      <c r="G63" s="40">
        <v>0.3984741275250589</v>
      </c>
      <c r="H63" s="41">
        <v>0.68113202980194265</v>
      </c>
      <c r="I63" s="42">
        <v>5</v>
      </c>
      <c r="J63" s="43">
        <v>0.05</v>
      </c>
      <c r="K63" s="51" t="str">
        <f t="shared" si="0"/>
        <v>Low Revenue</v>
      </c>
      <c r="L63" s="51" t="str">
        <f t="shared" si="1"/>
        <v>High Profit</v>
      </c>
      <c r="M63" s="53" t="str">
        <f t="shared" si="2"/>
        <v>Hidden Gems</v>
      </c>
      <c r="N63" s="56" t="str">
        <f t="shared" si="3"/>
        <v>Low Cost</v>
      </c>
      <c r="O63" s="33">
        <f t="shared" si="4"/>
        <v>0.83333333333333337</v>
      </c>
      <c r="P63" s="57">
        <v>0.05</v>
      </c>
      <c r="Q63" s="48">
        <f t="shared" si="5"/>
        <v>0.31886797019805735</v>
      </c>
      <c r="R63" s="60">
        <f t="shared" si="6"/>
        <v>0.44399372439275059</v>
      </c>
      <c r="S63" s="61" t="str">
        <f t="shared" si="7"/>
        <v>Medium Risk</v>
      </c>
    </row>
    <row r="64" spans="1:19" ht="15.6" x14ac:dyDescent="0.3">
      <c r="A64" s="36" t="s">
        <v>69</v>
      </c>
      <c r="B64" s="36" t="s">
        <v>334</v>
      </c>
      <c r="C64" s="36" t="s">
        <v>258</v>
      </c>
      <c r="D64" s="37">
        <v>534696</v>
      </c>
      <c r="E64" s="38">
        <v>322662.03419095272</v>
      </c>
      <c r="F64" s="39">
        <v>0.60344950063391667</v>
      </c>
      <c r="G64" s="40">
        <v>0.28982823884973891</v>
      </c>
      <c r="H64" s="41">
        <v>0.66307843103659836</v>
      </c>
      <c r="I64" s="42">
        <v>2</v>
      </c>
      <c r="J64" s="43">
        <v>0</v>
      </c>
      <c r="K64" s="51" t="str">
        <f t="shared" si="0"/>
        <v>Low Revenue</v>
      </c>
      <c r="L64" s="51" t="str">
        <f t="shared" si="1"/>
        <v>High Profit</v>
      </c>
      <c r="M64" s="53" t="str">
        <f t="shared" si="2"/>
        <v>Hidden Gems</v>
      </c>
      <c r="N64" s="56" t="str">
        <f t="shared" si="3"/>
        <v>Low Cost</v>
      </c>
      <c r="O64" s="33">
        <f t="shared" si="4"/>
        <v>0.33333333333333331</v>
      </c>
      <c r="P64" s="57">
        <v>0</v>
      </c>
      <c r="Q64" s="48">
        <f t="shared" si="5"/>
        <v>0.33692156896340164</v>
      </c>
      <c r="R64" s="60">
        <f t="shared" si="6"/>
        <v>0.23440980402235384</v>
      </c>
      <c r="S64" s="61" t="str">
        <f t="shared" si="7"/>
        <v>Low Risk</v>
      </c>
    </row>
    <row r="65" spans="1:19" ht="15.6" x14ac:dyDescent="0.3">
      <c r="A65" s="36" t="s">
        <v>70</v>
      </c>
      <c r="B65" s="36" t="s">
        <v>335</v>
      </c>
      <c r="C65" s="36" t="s">
        <v>259</v>
      </c>
      <c r="D65" s="37">
        <v>543199.29999999993</v>
      </c>
      <c r="E65" s="38">
        <v>-28632.613627566243</v>
      </c>
      <c r="F65" s="39">
        <v>-5.2711065031869973E-2</v>
      </c>
      <c r="G65" s="40">
        <v>0.87266312751139419</v>
      </c>
      <c r="H65" s="41">
        <v>0.82754023244674335</v>
      </c>
      <c r="I65" s="42">
        <v>0</v>
      </c>
      <c r="J65" s="43">
        <v>0.15</v>
      </c>
      <c r="K65" s="51" t="str">
        <f t="shared" si="0"/>
        <v>Low Revenue</v>
      </c>
      <c r="L65" s="51" t="str">
        <f t="shared" si="1"/>
        <v>Low Profit</v>
      </c>
      <c r="M65" s="53" t="str">
        <f t="shared" si="2"/>
        <v>Value Destroyers</v>
      </c>
      <c r="N65" s="56" t="str">
        <f t="shared" si="3"/>
        <v>High Cost</v>
      </c>
      <c r="O65" s="33">
        <f t="shared" si="4"/>
        <v>0</v>
      </c>
      <c r="P65" s="57">
        <v>0.15</v>
      </c>
      <c r="Q65" s="48">
        <f t="shared" si="5"/>
        <v>0.17245976755325665</v>
      </c>
      <c r="R65" s="60">
        <f t="shared" si="6"/>
        <v>9.673793026597699E-2</v>
      </c>
      <c r="S65" s="61" t="str">
        <f t="shared" si="7"/>
        <v>Low Risk</v>
      </c>
    </row>
    <row r="66" spans="1:19" ht="15.6" x14ac:dyDescent="0.3">
      <c r="A66" s="36" t="s">
        <v>71</v>
      </c>
      <c r="B66" s="36" t="s">
        <v>336</v>
      </c>
      <c r="C66" s="36" t="s">
        <v>258</v>
      </c>
      <c r="D66" s="37">
        <v>430576.2</v>
      </c>
      <c r="E66" s="38">
        <v>340739.26173879165</v>
      </c>
      <c r="F66" s="39">
        <v>0.79135647009470478</v>
      </c>
      <c r="G66" s="40">
        <v>0.12532044269980552</v>
      </c>
      <c r="H66" s="41">
        <v>0.56622199840172815</v>
      </c>
      <c r="I66" s="42">
        <v>5</v>
      </c>
      <c r="J66" s="43">
        <v>0.1</v>
      </c>
      <c r="K66" s="51" t="str">
        <f t="shared" si="0"/>
        <v>Low Revenue</v>
      </c>
      <c r="L66" s="51" t="str">
        <f t="shared" si="1"/>
        <v>High Profit</v>
      </c>
      <c r="M66" s="53" t="str">
        <f t="shared" si="2"/>
        <v>Hidden Gems</v>
      </c>
      <c r="N66" s="56" t="str">
        <f t="shared" si="3"/>
        <v>Low Cost</v>
      </c>
      <c r="O66" s="33">
        <f t="shared" si="4"/>
        <v>0.83333333333333337</v>
      </c>
      <c r="P66" s="57">
        <v>0.1</v>
      </c>
      <c r="Q66" s="48">
        <f t="shared" si="5"/>
        <v>0.43377800159827185</v>
      </c>
      <c r="R66" s="60">
        <f t="shared" si="6"/>
        <v>0.49346673381281492</v>
      </c>
      <c r="S66" s="61" t="str">
        <f t="shared" si="7"/>
        <v>Medium Risk</v>
      </c>
    </row>
    <row r="67" spans="1:19" ht="15.6" x14ac:dyDescent="0.3">
      <c r="A67" s="36" t="s">
        <v>72</v>
      </c>
      <c r="B67" s="36" t="s">
        <v>337</v>
      </c>
      <c r="C67" s="36" t="s">
        <v>258</v>
      </c>
      <c r="D67" s="37">
        <v>153676.13</v>
      </c>
      <c r="E67" s="38">
        <v>-77370.195672565053</v>
      </c>
      <c r="F67" s="39">
        <v>-0.50346267616555052</v>
      </c>
      <c r="G67" s="40">
        <v>1.2574496767975611</v>
      </c>
      <c r="H67" s="41">
        <v>0.68813622512456019</v>
      </c>
      <c r="I67" s="42">
        <v>3</v>
      </c>
      <c r="J67" s="43">
        <v>0.03</v>
      </c>
      <c r="K67" s="51" t="str">
        <f t="shared" si="0"/>
        <v>Low Revenue</v>
      </c>
      <c r="L67" s="51" t="str">
        <f t="shared" si="1"/>
        <v>Low Profit</v>
      </c>
      <c r="M67" s="53" t="str">
        <f t="shared" si="2"/>
        <v>Value Destroyers</v>
      </c>
      <c r="N67" s="56" t="str">
        <f t="shared" si="3"/>
        <v>High Cost</v>
      </c>
      <c r="O67" s="33">
        <f t="shared" si="4"/>
        <v>0.5</v>
      </c>
      <c r="P67" s="57">
        <v>0.03</v>
      </c>
      <c r="Q67" s="48">
        <f t="shared" si="5"/>
        <v>0.31186377487543981</v>
      </c>
      <c r="R67" s="60">
        <f t="shared" si="6"/>
        <v>0.30255913246263194</v>
      </c>
      <c r="S67" s="61" t="str">
        <f t="shared" si="7"/>
        <v>Low Risk</v>
      </c>
    </row>
    <row r="68" spans="1:19" ht="15.6" x14ac:dyDescent="0.3">
      <c r="A68" s="36" t="s">
        <v>73</v>
      </c>
      <c r="B68" s="36" t="s">
        <v>338</v>
      </c>
      <c r="C68" s="36" t="s">
        <v>259</v>
      </c>
      <c r="D68" s="37">
        <v>2070429.6400000001</v>
      </c>
      <c r="E68" s="38">
        <v>1246906.3271172345</v>
      </c>
      <c r="F68" s="39">
        <v>0.60224520699830897</v>
      </c>
      <c r="G68" s="40">
        <v>0.27789884229053058</v>
      </c>
      <c r="H68" s="41">
        <v>0.80510171669776742</v>
      </c>
      <c r="I68" s="42">
        <v>1</v>
      </c>
      <c r="J68" s="43">
        <v>0.08</v>
      </c>
      <c r="K68" s="51" t="str">
        <f t="shared" ref="K68:K131" si="8">IF(D68&gt;=MEDIAN(D68:D317), "High Revenue", "Low Revenue")</f>
        <v>High Revenue</v>
      </c>
      <c r="L68" s="51" t="str">
        <f t="shared" ref="L68:L131" si="9">IF(F68&gt;=0.25, "High Profit", "Low Profit")</f>
        <v>High Profit</v>
      </c>
      <c r="M68" s="53" t="str">
        <f t="shared" ref="M68:M131" si="10">IF(AND(K68="High Revenue", L68="High Profit"), "Strategic Gold", IF(AND(K68="High Revenue", L68="Low Profit"), "Margin Diluters", IF(AND(K68="Low Revenue", L68="High Profit"), "Hidden Gems", "Value Destroyers")))</f>
        <v>Strategic Gold</v>
      </c>
      <c r="N68" s="56" t="str">
        <f t="shared" ref="N68:N131" si="11">IF(G68&lt;0.4,"Low Cost",IF(G68&lt;=0.7,"Medium Cost","High Cost"))</f>
        <v>Low Cost</v>
      </c>
      <c r="O68" s="33">
        <f t="shared" ref="O68:O131" si="12">I68/MAX(I68:I317)</f>
        <v>0.16666666666666666</v>
      </c>
      <c r="P68" s="57">
        <v>0.08</v>
      </c>
      <c r="Q68" s="48">
        <f t="shared" ref="Q68:Q131" si="13">1-H68</f>
        <v>0.19489828330223258</v>
      </c>
      <c r="R68" s="60">
        <f t="shared" ref="R68:R131" si="14">0.4*O68+0.3*P68+0.3*Q68</f>
        <v>0.14913615165733646</v>
      </c>
      <c r="S68" s="61" t="str">
        <f t="shared" ref="S68:S131" si="15">IF(R68&lt;0.35, "Low Risk", IF(R68&lt;=0.65, "Medium Risk", "High Risk"))</f>
        <v>Low Risk</v>
      </c>
    </row>
    <row r="69" spans="1:19" ht="15.6" x14ac:dyDescent="0.3">
      <c r="A69" s="36" t="s">
        <v>74</v>
      </c>
      <c r="B69" s="36" t="s">
        <v>339</v>
      </c>
      <c r="C69" s="36" t="s">
        <v>258</v>
      </c>
      <c r="D69" s="37">
        <v>146320.4</v>
      </c>
      <c r="E69" s="38">
        <v>20486.249991500823</v>
      </c>
      <c r="F69" s="39">
        <v>0.14000952697983893</v>
      </c>
      <c r="G69" s="40">
        <v>0.66477401647343781</v>
      </c>
      <c r="H69" s="41">
        <v>0.8365886392298918</v>
      </c>
      <c r="I69" s="42">
        <v>3</v>
      </c>
      <c r="J69" s="43">
        <v>0.06</v>
      </c>
      <c r="K69" s="51" t="str">
        <f t="shared" si="8"/>
        <v>Low Revenue</v>
      </c>
      <c r="L69" s="51" t="str">
        <f t="shared" si="9"/>
        <v>Low Profit</v>
      </c>
      <c r="M69" s="53" t="str">
        <f t="shared" si="10"/>
        <v>Value Destroyers</v>
      </c>
      <c r="N69" s="56" t="str">
        <f t="shared" si="11"/>
        <v>Medium Cost</v>
      </c>
      <c r="O69" s="33">
        <f t="shared" si="12"/>
        <v>0.5</v>
      </c>
      <c r="P69" s="57">
        <v>0.06</v>
      </c>
      <c r="Q69" s="48">
        <f t="shared" si="13"/>
        <v>0.1634113607701082</v>
      </c>
      <c r="R69" s="60">
        <f t="shared" si="14"/>
        <v>0.26702340823103243</v>
      </c>
      <c r="S69" s="61" t="str">
        <f t="shared" si="15"/>
        <v>Low Risk</v>
      </c>
    </row>
    <row r="70" spans="1:19" ht="15.6" x14ac:dyDescent="0.3">
      <c r="A70" s="36" t="s">
        <v>75</v>
      </c>
      <c r="B70" s="36" t="s">
        <v>340</v>
      </c>
      <c r="C70" s="36" t="s">
        <v>258</v>
      </c>
      <c r="D70" s="37">
        <v>499356.9</v>
      </c>
      <c r="E70" s="38">
        <v>252264.08224145597</v>
      </c>
      <c r="F70" s="39">
        <v>0.50517792432918407</v>
      </c>
      <c r="G70" s="40">
        <v>0.369715528112258</v>
      </c>
      <c r="H70" s="41">
        <v>0.61249101673658801</v>
      </c>
      <c r="I70" s="42">
        <v>5</v>
      </c>
      <c r="J70" s="43">
        <v>0.1</v>
      </c>
      <c r="K70" s="51" t="str">
        <f t="shared" si="8"/>
        <v>Low Revenue</v>
      </c>
      <c r="L70" s="51" t="str">
        <f t="shared" si="9"/>
        <v>High Profit</v>
      </c>
      <c r="M70" s="53" t="str">
        <f t="shared" si="10"/>
        <v>Hidden Gems</v>
      </c>
      <c r="N70" s="56" t="str">
        <f t="shared" si="11"/>
        <v>Low Cost</v>
      </c>
      <c r="O70" s="33">
        <f t="shared" si="12"/>
        <v>0.83333333333333337</v>
      </c>
      <c r="P70" s="57">
        <v>0.1</v>
      </c>
      <c r="Q70" s="48">
        <f t="shared" si="13"/>
        <v>0.38750898326341199</v>
      </c>
      <c r="R70" s="60">
        <f t="shared" si="14"/>
        <v>0.47958602831235697</v>
      </c>
      <c r="S70" s="61" t="str">
        <f t="shared" si="15"/>
        <v>Medium Risk</v>
      </c>
    </row>
    <row r="71" spans="1:19" ht="15.6" x14ac:dyDescent="0.3">
      <c r="A71" s="36" t="s">
        <v>76</v>
      </c>
      <c r="B71" s="36" t="s">
        <v>341</v>
      </c>
      <c r="C71" s="36" t="s">
        <v>258</v>
      </c>
      <c r="D71" s="37">
        <v>383851.92</v>
      </c>
      <c r="E71" s="38">
        <v>156912.53352641576</v>
      </c>
      <c r="F71" s="39">
        <v>0.40878402673201625</v>
      </c>
      <c r="G71" s="40">
        <v>0.46299104092015486</v>
      </c>
      <c r="H71" s="41">
        <v>0.84251252937607135</v>
      </c>
      <c r="I71" s="42">
        <v>5</v>
      </c>
      <c r="J71" s="43">
        <v>7.0000000000000007E-2</v>
      </c>
      <c r="K71" s="51" t="str">
        <f t="shared" si="8"/>
        <v>Low Revenue</v>
      </c>
      <c r="L71" s="51" t="str">
        <f t="shared" si="9"/>
        <v>High Profit</v>
      </c>
      <c r="M71" s="53" t="str">
        <f t="shared" si="10"/>
        <v>Hidden Gems</v>
      </c>
      <c r="N71" s="56" t="str">
        <f t="shared" si="11"/>
        <v>Medium Cost</v>
      </c>
      <c r="O71" s="33">
        <f t="shared" si="12"/>
        <v>0.83333333333333337</v>
      </c>
      <c r="P71" s="57">
        <v>7.0000000000000007E-2</v>
      </c>
      <c r="Q71" s="48">
        <f t="shared" si="13"/>
        <v>0.15748747062392865</v>
      </c>
      <c r="R71" s="60">
        <f t="shared" si="14"/>
        <v>0.40157957452051196</v>
      </c>
      <c r="S71" s="61" t="str">
        <f t="shared" si="15"/>
        <v>Medium Risk</v>
      </c>
    </row>
    <row r="72" spans="1:19" ht="15.6" x14ac:dyDescent="0.3">
      <c r="A72" s="36" t="s">
        <v>77</v>
      </c>
      <c r="B72" s="36" t="s">
        <v>342</v>
      </c>
      <c r="C72" s="36" t="s">
        <v>258</v>
      </c>
      <c r="D72" s="37">
        <v>112167</v>
      </c>
      <c r="E72" s="38">
        <v>-149856.27881274448</v>
      </c>
      <c r="F72" s="39">
        <v>-1.3360104024601218</v>
      </c>
      <c r="G72" s="40">
        <v>1.991316519118814</v>
      </c>
      <c r="H72" s="41">
        <v>0.73105331108837279</v>
      </c>
      <c r="I72" s="42">
        <v>3</v>
      </c>
      <c r="J72" s="43">
        <v>0.1</v>
      </c>
      <c r="K72" s="51" t="str">
        <f t="shared" si="8"/>
        <v>Low Revenue</v>
      </c>
      <c r="L72" s="51" t="str">
        <f t="shared" si="9"/>
        <v>Low Profit</v>
      </c>
      <c r="M72" s="53" t="str">
        <f t="shared" si="10"/>
        <v>Value Destroyers</v>
      </c>
      <c r="N72" s="56" t="str">
        <f t="shared" si="11"/>
        <v>High Cost</v>
      </c>
      <c r="O72" s="33">
        <f t="shared" si="12"/>
        <v>0.5</v>
      </c>
      <c r="P72" s="57">
        <v>0.1</v>
      </c>
      <c r="Q72" s="48">
        <f t="shared" si="13"/>
        <v>0.26894668891162721</v>
      </c>
      <c r="R72" s="60">
        <f t="shared" si="14"/>
        <v>0.31068400667348817</v>
      </c>
      <c r="S72" s="61" t="str">
        <f t="shared" si="15"/>
        <v>Low Risk</v>
      </c>
    </row>
    <row r="73" spans="1:19" ht="15.6" x14ac:dyDescent="0.3">
      <c r="A73" s="36" t="s">
        <v>78</v>
      </c>
      <c r="B73" s="36" t="s">
        <v>343</v>
      </c>
      <c r="C73" s="36" t="s">
        <v>258</v>
      </c>
      <c r="D73" s="37">
        <v>532978.81000000006</v>
      </c>
      <c r="E73" s="38">
        <v>438653.96006161923</v>
      </c>
      <c r="F73" s="39">
        <v>0.82302326439885887</v>
      </c>
      <c r="G73" s="40">
        <v>9.553850743146805E-2</v>
      </c>
      <c r="H73" s="41">
        <v>0.51883230785147127</v>
      </c>
      <c r="I73" s="42">
        <v>5</v>
      </c>
      <c r="J73" s="43">
        <v>0.09</v>
      </c>
      <c r="K73" s="51" t="str">
        <f t="shared" si="8"/>
        <v>Low Revenue</v>
      </c>
      <c r="L73" s="51" t="str">
        <f t="shared" si="9"/>
        <v>High Profit</v>
      </c>
      <c r="M73" s="53" t="str">
        <f t="shared" si="10"/>
        <v>Hidden Gems</v>
      </c>
      <c r="N73" s="56" t="str">
        <f t="shared" si="11"/>
        <v>Low Cost</v>
      </c>
      <c r="O73" s="33">
        <f t="shared" si="12"/>
        <v>0.83333333333333337</v>
      </c>
      <c r="P73" s="57">
        <v>0.09</v>
      </c>
      <c r="Q73" s="48">
        <f t="shared" si="13"/>
        <v>0.48116769214852873</v>
      </c>
      <c r="R73" s="60">
        <f t="shared" si="14"/>
        <v>0.50468364097789198</v>
      </c>
      <c r="S73" s="61" t="str">
        <f t="shared" si="15"/>
        <v>Medium Risk</v>
      </c>
    </row>
    <row r="74" spans="1:19" ht="15.6" x14ac:dyDescent="0.3">
      <c r="A74" s="36" t="s">
        <v>79</v>
      </c>
      <c r="B74" s="36" t="s">
        <v>344</v>
      </c>
      <c r="C74" s="36" t="s">
        <v>258</v>
      </c>
      <c r="D74" s="37">
        <v>350328.33</v>
      </c>
      <c r="E74" s="38">
        <v>242634.59952329006</v>
      </c>
      <c r="F74" s="39">
        <v>0.69259200226053674</v>
      </c>
      <c r="G74" s="40">
        <v>0.19621593263667828</v>
      </c>
      <c r="H74" s="41">
        <v>0.75336723491835267</v>
      </c>
      <c r="I74" s="42">
        <v>3</v>
      </c>
      <c r="J74" s="43">
        <v>0.01</v>
      </c>
      <c r="K74" s="51" t="str">
        <f t="shared" si="8"/>
        <v>Low Revenue</v>
      </c>
      <c r="L74" s="51" t="str">
        <f t="shared" si="9"/>
        <v>High Profit</v>
      </c>
      <c r="M74" s="53" t="str">
        <f t="shared" si="10"/>
        <v>Hidden Gems</v>
      </c>
      <c r="N74" s="56" t="str">
        <f t="shared" si="11"/>
        <v>Low Cost</v>
      </c>
      <c r="O74" s="33">
        <f t="shared" si="12"/>
        <v>0.5</v>
      </c>
      <c r="P74" s="57">
        <v>0.01</v>
      </c>
      <c r="Q74" s="48">
        <f t="shared" si="13"/>
        <v>0.24663276508164733</v>
      </c>
      <c r="R74" s="60">
        <f t="shared" si="14"/>
        <v>0.27698982952449419</v>
      </c>
      <c r="S74" s="61" t="str">
        <f t="shared" si="15"/>
        <v>Low Risk</v>
      </c>
    </row>
    <row r="75" spans="1:19" ht="15.6" x14ac:dyDescent="0.3">
      <c r="A75" s="36" t="s">
        <v>80</v>
      </c>
      <c r="B75" s="36" t="s">
        <v>345</v>
      </c>
      <c r="C75" s="36" t="s">
        <v>258</v>
      </c>
      <c r="D75" s="37">
        <v>144960</v>
      </c>
      <c r="E75" s="38">
        <v>-72484.634036836418</v>
      </c>
      <c r="F75" s="39">
        <v>-0.50003196769340796</v>
      </c>
      <c r="G75" s="40">
        <v>1.2984271523178808</v>
      </c>
      <c r="H75" s="41">
        <v>0.61122075419332189</v>
      </c>
      <c r="I75" s="42">
        <v>0</v>
      </c>
      <c r="J75" s="43">
        <v>0.04</v>
      </c>
      <c r="K75" s="51" t="str">
        <f t="shared" si="8"/>
        <v>Low Revenue</v>
      </c>
      <c r="L75" s="51" t="str">
        <f t="shared" si="9"/>
        <v>Low Profit</v>
      </c>
      <c r="M75" s="53" t="str">
        <f t="shared" si="10"/>
        <v>Value Destroyers</v>
      </c>
      <c r="N75" s="56" t="str">
        <f t="shared" si="11"/>
        <v>High Cost</v>
      </c>
      <c r="O75" s="33">
        <f t="shared" si="12"/>
        <v>0</v>
      </c>
      <c r="P75" s="57">
        <v>0.04</v>
      </c>
      <c r="Q75" s="48">
        <f t="shared" si="13"/>
        <v>0.38877924580667811</v>
      </c>
      <c r="R75" s="60">
        <f t="shared" si="14"/>
        <v>0.12863377374200344</v>
      </c>
      <c r="S75" s="61" t="str">
        <f t="shared" si="15"/>
        <v>Low Risk</v>
      </c>
    </row>
    <row r="76" spans="1:19" ht="15.6" x14ac:dyDescent="0.3">
      <c r="A76" s="36" t="s">
        <v>81</v>
      </c>
      <c r="B76" s="36" t="s">
        <v>346</v>
      </c>
      <c r="C76" s="36" t="s">
        <v>259</v>
      </c>
      <c r="D76" s="37">
        <v>2100664.0099999998</v>
      </c>
      <c r="E76" s="38">
        <v>1604833.0917688066</v>
      </c>
      <c r="F76" s="39">
        <v>0.76396467218420461</v>
      </c>
      <c r="G76" s="40">
        <v>0.14934325456454126</v>
      </c>
      <c r="H76" s="41">
        <v>0.867010201489256</v>
      </c>
      <c r="I76" s="42">
        <v>4</v>
      </c>
      <c r="J76" s="43">
        <v>0.03</v>
      </c>
      <c r="K76" s="51" t="str">
        <f t="shared" si="8"/>
        <v>High Revenue</v>
      </c>
      <c r="L76" s="51" t="str">
        <f t="shared" si="9"/>
        <v>High Profit</v>
      </c>
      <c r="M76" s="53" t="str">
        <f t="shared" si="10"/>
        <v>Strategic Gold</v>
      </c>
      <c r="N76" s="56" t="str">
        <f t="shared" si="11"/>
        <v>Low Cost</v>
      </c>
      <c r="O76" s="33">
        <f t="shared" si="12"/>
        <v>0.66666666666666663</v>
      </c>
      <c r="P76" s="57">
        <v>0.03</v>
      </c>
      <c r="Q76" s="48">
        <f t="shared" si="13"/>
        <v>0.132989798510744</v>
      </c>
      <c r="R76" s="60">
        <f t="shared" si="14"/>
        <v>0.31556360621988988</v>
      </c>
      <c r="S76" s="61" t="str">
        <f t="shared" si="15"/>
        <v>Low Risk</v>
      </c>
    </row>
    <row r="77" spans="1:19" ht="15.6" x14ac:dyDescent="0.3">
      <c r="A77" s="36" t="s">
        <v>82</v>
      </c>
      <c r="B77" s="36" t="s">
        <v>347</v>
      </c>
      <c r="C77" s="36" t="s">
        <v>259</v>
      </c>
      <c r="D77" s="37">
        <v>1624747.41</v>
      </c>
      <c r="E77" s="38">
        <v>1148788.4021747517</v>
      </c>
      <c r="F77" s="39">
        <v>0.70705661391068275</v>
      </c>
      <c r="G77" s="40">
        <v>0.1660750454742993</v>
      </c>
      <c r="H77" s="41">
        <v>0.76402726772122098</v>
      </c>
      <c r="I77" s="42">
        <v>1</v>
      </c>
      <c r="J77" s="43">
        <v>0.17</v>
      </c>
      <c r="K77" s="51" t="str">
        <f t="shared" si="8"/>
        <v>High Revenue</v>
      </c>
      <c r="L77" s="51" t="str">
        <f t="shared" si="9"/>
        <v>High Profit</v>
      </c>
      <c r="M77" s="53" t="str">
        <f t="shared" si="10"/>
        <v>Strategic Gold</v>
      </c>
      <c r="N77" s="56" t="str">
        <f t="shared" si="11"/>
        <v>Low Cost</v>
      </c>
      <c r="O77" s="33">
        <f t="shared" si="12"/>
        <v>0.16666666666666666</v>
      </c>
      <c r="P77" s="57">
        <v>0.17</v>
      </c>
      <c r="Q77" s="48">
        <f t="shared" si="13"/>
        <v>0.23597273227877902</v>
      </c>
      <c r="R77" s="60">
        <f t="shared" si="14"/>
        <v>0.18845848635030038</v>
      </c>
      <c r="S77" s="61" t="str">
        <f t="shared" si="15"/>
        <v>Low Risk</v>
      </c>
    </row>
    <row r="78" spans="1:19" ht="15.6" x14ac:dyDescent="0.3">
      <c r="A78" s="36" t="s">
        <v>83</v>
      </c>
      <c r="B78" s="36" t="s">
        <v>348</v>
      </c>
      <c r="C78" s="36" t="s">
        <v>258</v>
      </c>
      <c r="D78" s="37">
        <v>524036.60000000003</v>
      </c>
      <c r="E78" s="38">
        <v>435030.01926144597</v>
      </c>
      <c r="F78" s="39">
        <v>0.83015197652500983</v>
      </c>
      <c r="G78" s="40">
        <v>8.4097179471815511E-2</v>
      </c>
      <c r="H78" s="41">
        <v>0.63631269027834458</v>
      </c>
      <c r="I78" s="42">
        <v>4</v>
      </c>
      <c r="J78" s="43">
        <v>0.08</v>
      </c>
      <c r="K78" s="51" t="str">
        <f t="shared" si="8"/>
        <v>Low Revenue</v>
      </c>
      <c r="L78" s="51" t="str">
        <f t="shared" si="9"/>
        <v>High Profit</v>
      </c>
      <c r="M78" s="53" t="str">
        <f t="shared" si="10"/>
        <v>Hidden Gems</v>
      </c>
      <c r="N78" s="56" t="str">
        <f t="shared" si="11"/>
        <v>Low Cost</v>
      </c>
      <c r="O78" s="33">
        <f t="shared" si="12"/>
        <v>0.66666666666666663</v>
      </c>
      <c r="P78" s="57">
        <v>0.08</v>
      </c>
      <c r="Q78" s="48">
        <f t="shared" si="13"/>
        <v>0.36368730972165542</v>
      </c>
      <c r="R78" s="60">
        <f t="shared" si="14"/>
        <v>0.39977285958316333</v>
      </c>
      <c r="S78" s="61" t="str">
        <f t="shared" si="15"/>
        <v>Medium Risk</v>
      </c>
    </row>
    <row r="79" spans="1:19" ht="15.6" x14ac:dyDescent="0.3">
      <c r="A79" s="36" t="s">
        <v>84</v>
      </c>
      <c r="B79" s="36" t="s">
        <v>349</v>
      </c>
      <c r="C79" s="36" t="s">
        <v>260</v>
      </c>
      <c r="D79" s="37">
        <v>10267795.23</v>
      </c>
      <c r="E79" s="38">
        <v>7660690.013041798</v>
      </c>
      <c r="F79" s="39">
        <v>0.74608909132304513</v>
      </c>
      <c r="G79" s="40">
        <v>0.16888338354601176</v>
      </c>
      <c r="H79" s="41">
        <v>0.778910192206138</v>
      </c>
      <c r="I79" s="42">
        <v>1</v>
      </c>
      <c r="J79" s="43">
        <v>0.23</v>
      </c>
      <c r="K79" s="51" t="str">
        <f t="shared" si="8"/>
        <v>High Revenue</v>
      </c>
      <c r="L79" s="51" t="str">
        <f t="shared" si="9"/>
        <v>High Profit</v>
      </c>
      <c r="M79" s="53" t="str">
        <f t="shared" si="10"/>
        <v>Strategic Gold</v>
      </c>
      <c r="N79" s="56" t="str">
        <f t="shared" si="11"/>
        <v>Low Cost</v>
      </c>
      <c r="O79" s="33">
        <f t="shared" si="12"/>
        <v>0.16666666666666666</v>
      </c>
      <c r="P79" s="57">
        <v>0.23</v>
      </c>
      <c r="Q79" s="48">
        <f t="shared" si="13"/>
        <v>0.221089807793862</v>
      </c>
      <c r="R79" s="60">
        <f t="shared" si="14"/>
        <v>0.20199360900482527</v>
      </c>
      <c r="S79" s="61" t="str">
        <f t="shared" si="15"/>
        <v>Low Risk</v>
      </c>
    </row>
    <row r="80" spans="1:19" ht="15.6" x14ac:dyDescent="0.3">
      <c r="A80" s="36" t="s">
        <v>85</v>
      </c>
      <c r="B80" s="36" t="s">
        <v>350</v>
      </c>
      <c r="C80" s="36" t="s">
        <v>259</v>
      </c>
      <c r="D80" s="37">
        <v>837724.28</v>
      </c>
      <c r="E80" s="38">
        <v>78615.402975794568</v>
      </c>
      <c r="F80" s="39">
        <v>9.3844006736673036E-2</v>
      </c>
      <c r="G80" s="40">
        <v>0.70809694091712372</v>
      </c>
      <c r="H80" s="41">
        <v>0.70706011103230626</v>
      </c>
      <c r="I80" s="42">
        <v>1</v>
      </c>
      <c r="J80" s="43">
        <v>0.14000000000000001</v>
      </c>
      <c r="K80" s="51" t="str">
        <f t="shared" si="8"/>
        <v>Low Revenue</v>
      </c>
      <c r="L80" s="51" t="str">
        <f t="shared" si="9"/>
        <v>Low Profit</v>
      </c>
      <c r="M80" s="53" t="str">
        <f t="shared" si="10"/>
        <v>Value Destroyers</v>
      </c>
      <c r="N80" s="56" t="str">
        <f t="shared" si="11"/>
        <v>High Cost</v>
      </c>
      <c r="O80" s="33">
        <f t="shared" si="12"/>
        <v>0.16666666666666666</v>
      </c>
      <c r="P80" s="57">
        <v>0.14000000000000001</v>
      </c>
      <c r="Q80" s="48">
        <f t="shared" si="13"/>
        <v>0.29293988896769374</v>
      </c>
      <c r="R80" s="60">
        <f t="shared" si="14"/>
        <v>0.19654863335697478</v>
      </c>
      <c r="S80" s="61" t="str">
        <f t="shared" si="15"/>
        <v>Low Risk</v>
      </c>
    </row>
    <row r="81" spans="1:19" ht="15.6" x14ac:dyDescent="0.3">
      <c r="A81" s="36" t="s">
        <v>86</v>
      </c>
      <c r="B81" s="36" t="s">
        <v>351</v>
      </c>
      <c r="C81" s="36" t="s">
        <v>258</v>
      </c>
      <c r="D81" s="37">
        <v>278855.03999999998</v>
      </c>
      <c r="E81" s="38">
        <v>89653.025532176951</v>
      </c>
      <c r="F81" s="39">
        <v>0.3215040529020991</v>
      </c>
      <c r="G81" s="40">
        <v>0.53009621056158784</v>
      </c>
      <c r="H81" s="41">
        <v>0.61550501327845086</v>
      </c>
      <c r="I81" s="42">
        <v>4</v>
      </c>
      <c r="J81" s="43">
        <v>0.04</v>
      </c>
      <c r="K81" s="51" t="str">
        <f t="shared" si="8"/>
        <v>Low Revenue</v>
      </c>
      <c r="L81" s="51" t="str">
        <f t="shared" si="9"/>
        <v>High Profit</v>
      </c>
      <c r="M81" s="53" t="str">
        <f t="shared" si="10"/>
        <v>Hidden Gems</v>
      </c>
      <c r="N81" s="56" t="str">
        <f t="shared" si="11"/>
        <v>Medium Cost</v>
      </c>
      <c r="O81" s="33">
        <f t="shared" si="12"/>
        <v>0.66666666666666663</v>
      </c>
      <c r="P81" s="57">
        <v>0.04</v>
      </c>
      <c r="Q81" s="48">
        <f t="shared" si="13"/>
        <v>0.38449498672154914</v>
      </c>
      <c r="R81" s="60">
        <f t="shared" si="14"/>
        <v>0.39401516268313141</v>
      </c>
      <c r="S81" s="61" t="str">
        <f t="shared" si="15"/>
        <v>Medium Risk</v>
      </c>
    </row>
    <row r="82" spans="1:19" ht="15.6" x14ac:dyDescent="0.3">
      <c r="A82" s="36" t="s">
        <v>87</v>
      </c>
      <c r="B82" s="36" t="s">
        <v>352</v>
      </c>
      <c r="C82" s="36" t="s">
        <v>260</v>
      </c>
      <c r="D82" s="37">
        <v>7564992.6200000001</v>
      </c>
      <c r="E82" s="38">
        <v>5290369.507879124</v>
      </c>
      <c r="F82" s="39">
        <v>0.69932249423385739</v>
      </c>
      <c r="G82" s="40">
        <v>0.20722161656252877</v>
      </c>
      <c r="H82" s="41">
        <v>0.9095347799127681</v>
      </c>
      <c r="I82" s="42">
        <v>3</v>
      </c>
      <c r="J82" s="43">
        <v>0.26</v>
      </c>
      <c r="K82" s="51" t="str">
        <f t="shared" si="8"/>
        <v>High Revenue</v>
      </c>
      <c r="L82" s="51" t="str">
        <f t="shared" si="9"/>
        <v>High Profit</v>
      </c>
      <c r="M82" s="53" t="str">
        <f t="shared" si="10"/>
        <v>Strategic Gold</v>
      </c>
      <c r="N82" s="56" t="str">
        <f t="shared" si="11"/>
        <v>Low Cost</v>
      </c>
      <c r="O82" s="33">
        <f t="shared" si="12"/>
        <v>0.5</v>
      </c>
      <c r="P82" s="57">
        <v>0.26</v>
      </c>
      <c r="Q82" s="48">
        <f t="shared" si="13"/>
        <v>9.0465220087231901E-2</v>
      </c>
      <c r="R82" s="60">
        <f t="shared" si="14"/>
        <v>0.3051395660261696</v>
      </c>
      <c r="S82" s="61" t="str">
        <f t="shared" si="15"/>
        <v>Low Risk</v>
      </c>
    </row>
    <row r="83" spans="1:19" ht="15.6" x14ac:dyDescent="0.3">
      <c r="A83" s="36" t="s">
        <v>88</v>
      </c>
      <c r="B83" s="36" t="s">
        <v>353</v>
      </c>
      <c r="C83" s="36" t="s">
        <v>259</v>
      </c>
      <c r="D83" s="37">
        <v>1820488.3499999999</v>
      </c>
      <c r="E83" s="38">
        <v>978278.39505541301</v>
      </c>
      <c r="F83" s="39">
        <v>0.53737141193757876</v>
      </c>
      <c r="G83" s="40">
        <v>0.32810426938464071</v>
      </c>
      <c r="H83" s="41">
        <v>0.74614573809566875</v>
      </c>
      <c r="I83" s="42">
        <v>2</v>
      </c>
      <c r="J83" s="43">
        <v>0.15</v>
      </c>
      <c r="K83" s="51" t="str">
        <f t="shared" si="8"/>
        <v>High Revenue</v>
      </c>
      <c r="L83" s="51" t="str">
        <f t="shared" si="9"/>
        <v>High Profit</v>
      </c>
      <c r="M83" s="53" t="str">
        <f t="shared" si="10"/>
        <v>Strategic Gold</v>
      </c>
      <c r="N83" s="56" t="str">
        <f t="shared" si="11"/>
        <v>Low Cost</v>
      </c>
      <c r="O83" s="33">
        <f t="shared" si="12"/>
        <v>0.33333333333333331</v>
      </c>
      <c r="P83" s="57">
        <v>0.15</v>
      </c>
      <c r="Q83" s="48">
        <f t="shared" si="13"/>
        <v>0.25385426190433125</v>
      </c>
      <c r="R83" s="60">
        <f t="shared" si="14"/>
        <v>0.25448961190463271</v>
      </c>
      <c r="S83" s="61" t="str">
        <f t="shared" si="15"/>
        <v>Low Risk</v>
      </c>
    </row>
    <row r="84" spans="1:19" ht="15.6" x14ac:dyDescent="0.3">
      <c r="A84" s="36" t="s">
        <v>89</v>
      </c>
      <c r="B84" s="36" t="s">
        <v>354</v>
      </c>
      <c r="C84" s="36" t="s">
        <v>259</v>
      </c>
      <c r="D84" s="37">
        <v>627158.4</v>
      </c>
      <c r="E84" s="38">
        <v>157649.37617784596</v>
      </c>
      <c r="F84" s="39">
        <v>0.25137090753762681</v>
      </c>
      <c r="G84" s="40">
        <v>0.55590421813691726</v>
      </c>
      <c r="H84" s="41">
        <v>0.71721106455617623</v>
      </c>
      <c r="I84" s="42">
        <v>0</v>
      </c>
      <c r="J84" s="43">
        <v>0.04</v>
      </c>
      <c r="K84" s="51" t="str">
        <f t="shared" si="8"/>
        <v>Low Revenue</v>
      </c>
      <c r="L84" s="51" t="str">
        <f t="shared" si="9"/>
        <v>High Profit</v>
      </c>
      <c r="M84" s="53" t="str">
        <f t="shared" si="10"/>
        <v>Hidden Gems</v>
      </c>
      <c r="N84" s="56" t="str">
        <f t="shared" si="11"/>
        <v>Medium Cost</v>
      </c>
      <c r="O84" s="33">
        <f t="shared" si="12"/>
        <v>0</v>
      </c>
      <c r="P84" s="57">
        <v>0.04</v>
      </c>
      <c r="Q84" s="48">
        <f t="shared" si="13"/>
        <v>0.28278893544382377</v>
      </c>
      <c r="R84" s="60">
        <f t="shared" si="14"/>
        <v>9.6836680633147126E-2</v>
      </c>
      <c r="S84" s="61" t="str">
        <f t="shared" si="15"/>
        <v>Low Risk</v>
      </c>
    </row>
    <row r="85" spans="1:19" ht="15.6" x14ac:dyDescent="0.3">
      <c r="A85" s="36" t="s">
        <v>90</v>
      </c>
      <c r="B85" s="36" t="s">
        <v>355</v>
      </c>
      <c r="C85" s="36" t="s">
        <v>258</v>
      </c>
      <c r="D85" s="37">
        <v>196181.75999999998</v>
      </c>
      <c r="E85" s="38">
        <v>-97772.979679731856</v>
      </c>
      <c r="F85" s="39">
        <v>-0.49837956229841074</v>
      </c>
      <c r="G85" s="40">
        <v>1.2839114095010669</v>
      </c>
      <c r="H85" s="41">
        <v>0.64287892274643821</v>
      </c>
      <c r="I85" s="42">
        <v>0</v>
      </c>
      <c r="J85" s="43">
        <v>0.04</v>
      </c>
      <c r="K85" s="51" t="str">
        <f t="shared" si="8"/>
        <v>Low Revenue</v>
      </c>
      <c r="L85" s="51" t="str">
        <f t="shared" si="9"/>
        <v>Low Profit</v>
      </c>
      <c r="M85" s="53" t="str">
        <f t="shared" si="10"/>
        <v>Value Destroyers</v>
      </c>
      <c r="N85" s="56" t="str">
        <f t="shared" si="11"/>
        <v>High Cost</v>
      </c>
      <c r="O85" s="33">
        <f t="shared" si="12"/>
        <v>0</v>
      </c>
      <c r="P85" s="57">
        <v>0.04</v>
      </c>
      <c r="Q85" s="48">
        <f t="shared" si="13"/>
        <v>0.35712107725356179</v>
      </c>
      <c r="R85" s="60">
        <f t="shared" si="14"/>
        <v>0.11913632317606854</v>
      </c>
      <c r="S85" s="61" t="str">
        <f t="shared" si="15"/>
        <v>Low Risk</v>
      </c>
    </row>
    <row r="86" spans="1:19" ht="15.6" x14ac:dyDescent="0.3">
      <c r="A86" s="36" t="s">
        <v>91</v>
      </c>
      <c r="B86" s="36" t="s">
        <v>356</v>
      </c>
      <c r="C86" s="36" t="s">
        <v>259</v>
      </c>
      <c r="D86" s="37">
        <v>1843401.4</v>
      </c>
      <c r="E86" s="38">
        <v>1030481.3289833888</v>
      </c>
      <c r="F86" s="39">
        <v>0.55901082042326156</v>
      </c>
      <c r="G86" s="40">
        <v>0.31132665951105387</v>
      </c>
      <c r="H86" s="41">
        <v>0.85582403236159443</v>
      </c>
      <c r="I86" s="42">
        <v>0</v>
      </c>
      <c r="J86" s="43">
        <v>0.14000000000000001</v>
      </c>
      <c r="K86" s="51" t="str">
        <f t="shared" si="8"/>
        <v>High Revenue</v>
      </c>
      <c r="L86" s="51" t="str">
        <f t="shared" si="9"/>
        <v>High Profit</v>
      </c>
      <c r="M86" s="53" t="str">
        <f t="shared" si="10"/>
        <v>Strategic Gold</v>
      </c>
      <c r="N86" s="56" t="str">
        <f t="shared" si="11"/>
        <v>Low Cost</v>
      </c>
      <c r="O86" s="33">
        <f t="shared" si="12"/>
        <v>0</v>
      </c>
      <c r="P86" s="57">
        <v>0.14000000000000001</v>
      </c>
      <c r="Q86" s="48">
        <f t="shared" si="13"/>
        <v>0.14417596763840557</v>
      </c>
      <c r="R86" s="60">
        <f t="shared" si="14"/>
        <v>8.5252790291521663E-2</v>
      </c>
      <c r="S86" s="61" t="str">
        <f t="shared" si="15"/>
        <v>Low Risk</v>
      </c>
    </row>
    <row r="87" spans="1:19" ht="15.6" x14ac:dyDescent="0.3">
      <c r="A87" s="36" t="s">
        <v>92</v>
      </c>
      <c r="B87" s="36" t="s">
        <v>357</v>
      </c>
      <c r="C87" s="36" t="s">
        <v>258</v>
      </c>
      <c r="D87" s="37">
        <v>248490.06</v>
      </c>
      <c r="E87" s="38">
        <v>93307.357389558558</v>
      </c>
      <c r="F87" s="39">
        <v>0.37549734339296531</v>
      </c>
      <c r="G87" s="40">
        <v>0.47092426956635608</v>
      </c>
      <c r="H87" s="41">
        <v>0.81345716850296368</v>
      </c>
      <c r="I87" s="42">
        <v>5</v>
      </c>
      <c r="J87" s="43">
        <v>0.09</v>
      </c>
      <c r="K87" s="51" t="str">
        <f t="shared" si="8"/>
        <v>Low Revenue</v>
      </c>
      <c r="L87" s="51" t="str">
        <f t="shared" si="9"/>
        <v>High Profit</v>
      </c>
      <c r="M87" s="53" t="str">
        <f t="shared" si="10"/>
        <v>Hidden Gems</v>
      </c>
      <c r="N87" s="56" t="str">
        <f t="shared" si="11"/>
        <v>Medium Cost</v>
      </c>
      <c r="O87" s="33">
        <f t="shared" si="12"/>
        <v>0.83333333333333337</v>
      </c>
      <c r="P87" s="57">
        <v>0.09</v>
      </c>
      <c r="Q87" s="48">
        <f t="shared" si="13"/>
        <v>0.18654283149703632</v>
      </c>
      <c r="R87" s="60">
        <f t="shared" si="14"/>
        <v>0.41629618278244429</v>
      </c>
      <c r="S87" s="61" t="str">
        <f t="shared" si="15"/>
        <v>Medium Risk</v>
      </c>
    </row>
    <row r="88" spans="1:19" ht="15.6" x14ac:dyDescent="0.3">
      <c r="A88" s="36" t="s">
        <v>93</v>
      </c>
      <c r="B88" s="36" t="s">
        <v>358</v>
      </c>
      <c r="C88" s="36" t="s">
        <v>260</v>
      </c>
      <c r="D88" s="37">
        <v>6114922.6600000001</v>
      </c>
      <c r="E88" s="38">
        <v>3196310.8935593641</v>
      </c>
      <c r="F88" s="39">
        <v>0.52270667533828863</v>
      </c>
      <c r="G88" s="40">
        <v>0.35138465676031949</v>
      </c>
      <c r="H88" s="41">
        <v>0.75256702348702675</v>
      </c>
      <c r="I88" s="42">
        <v>1</v>
      </c>
      <c r="J88" s="43">
        <v>0.23</v>
      </c>
      <c r="K88" s="51" t="str">
        <f t="shared" si="8"/>
        <v>High Revenue</v>
      </c>
      <c r="L88" s="51" t="str">
        <f t="shared" si="9"/>
        <v>High Profit</v>
      </c>
      <c r="M88" s="53" t="str">
        <f t="shared" si="10"/>
        <v>Strategic Gold</v>
      </c>
      <c r="N88" s="56" t="str">
        <f t="shared" si="11"/>
        <v>Low Cost</v>
      </c>
      <c r="O88" s="33">
        <f t="shared" si="12"/>
        <v>0.16666666666666666</v>
      </c>
      <c r="P88" s="57">
        <v>0.23</v>
      </c>
      <c r="Q88" s="48">
        <f t="shared" si="13"/>
        <v>0.24743297651297325</v>
      </c>
      <c r="R88" s="60">
        <f t="shared" si="14"/>
        <v>0.20989655962055864</v>
      </c>
      <c r="S88" s="61" t="str">
        <f t="shared" si="15"/>
        <v>Low Risk</v>
      </c>
    </row>
    <row r="89" spans="1:19" ht="15.6" x14ac:dyDescent="0.3">
      <c r="A89" s="36" t="s">
        <v>94</v>
      </c>
      <c r="B89" s="36" t="s">
        <v>359</v>
      </c>
      <c r="C89" s="36" t="s">
        <v>258</v>
      </c>
      <c r="D89" s="37">
        <v>441543.02999999997</v>
      </c>
      <c r="E89" s="38">
        <v>295314.45692842425</v>
      </c>
      <c r="F89" s="39">
        <v>0.66882373146831076</v>
      </c>
      <c r="G89" s="40">
        <v>0.23354462191374645</v>
      </c>
      <c r="H89" s="41">
        <v>0.80635725816293113</v>
      </c>
      <c r="I89" s="42">
        <v>4</v>
      </c>
      <c r="J89" s="43">
        <v>0.03</v>
      </c>
      <c r="K89" s="51" t="str">
        <f t="shared" si="8"/>
        <v>Low Revenue</v>
      </c>
      <c r="L89" s="51" t="str">
        <f t="shared" si="9"/>
        <v>High Profit</v>
      </c>
      <c r="M89" s="53" t="str">
        <f t="shared" si="10"/>
        <v>Hidden Gems</v>
      </c>
      <c r="N89" s="56" t="str">
        <f t="shared" si="11"/>
        <v>Low Cost</v>
      </c>
      <c r="O89" s="33">
        <f t="shared" si="12"/>
        <v>0.66666666666666663</v>
      </c>
      <c r="P89" s="57">
        <v>0.03</v>
      </c>
      <c r="Q89" s="48">
        <f t="shared" si="13"/>
        <v>0.19364274183706887</v>
      </c>
      <c r="R89" s="60">
        <f t="shared" si="14"/>
        <v>0.33375948921778731</v>
      </c>
      <c r="S89" s="61" t="str">
        <f t="shared" si="15"/>
        <v>Low Risk</v>
      </c>
    </row>
    <row r="90" spans="1:19" ht="15.6" x14ac:dyDescent="0.3">
      <c r="A90" s="36" t="s">
        <v>95</v>
      </c>
      <c r="B90" s="36" t="s">
        <v>360</v>
      </c>
      <c r="C90" s="36" t="s">
        <v>260</v>
      </c>
      <c r="D90" s="37">
        <v>7545067.2000000002</v>
      </c>
      <c r="E90" s="38">
        <v>3990307.930557481</v>
      </c>
      <c r="F90" s="39">
        <v>0.52886313995420486</v>
      </c>
      <c r="G90" s="40">
        <v>0.31970291795413036</v>
      </c>
      <c r="H90" s="41">
        <v>0.85669969403482726</v>
      </c>
      <c r="I90" s="42">
        <v>6</v>
      </c>
      <c r="J90" s="43">
        <v>0.2</v>
      </c>
      <c r="K90" s="51" t="str">
        <f t="shared" si="8"/>
        <v>High Revenue</v>
      </c>
      <c r="L90" s="51" t="str">
        <f t="shared" si="9"/>
        <v>High Profit</v>
      </c>
      <c r="M90" s="53" t="str">
        <f t="shared" si="10"/>
        <v>Strategic Gold</v>
      </c>
      <c r="N90" s="56" t="str">
        <f t="shared" si="11"/>
        <v>Low Cost</v>
      </c>
      <c r="O90" s="33">
        <f t="shared" si="12"/>
        <v>1</v>
      </c>
      <c r="P90" s="57">
        <v>0.2</v>
      </c>
      <c r="Q90" s="48">
        <f t="shared" si="13"/>
        <v>0.14330030596517274</v>
      </c>
      <c r="R90" s="60">
        <f t="shared" si="14"/>
        <v>0.50299009178955179</v>
      </c>
      <c r="S90" s="61" t="str">
        <f t="shared" si="15"/>
        <v>Medium Risk</v>
      </c>
    </row>
    <row r="91" spans="1:19" ht="15.6" x14ac:dyDescent="0.3">
      <c r="A91" s="36" t="s">
        <v>96</v>
      </c>
      <c r="B91" s="36" t="s">
        <v>361</v>
      </c>
      <c r="C91" s="36" t="s">
        <v>260</v>
      </c>
      <c r="D91" s="37">
        <v>9637691.2300000004</v>
      </c>
      <c r="E91" s="38">
        <v>7459803.7799402047</v>
      </c>
      <c r="F91" s="39">
        <v>0.77402394431557275</v>
      </c>
      <c r="G91" s="40">
        <v>0.1439473383087414</v>
      </c>
      <c r="H91" s="41">
        <v>0.93925675528980535</v>
      </c>
      <c r="I91" s="42">
        <v>4</v>
      </c>
      <c r="J91" s="43">
        <v>0.28999999999999998</v>
      </c>
      <c r="K91" s="51" t="str">
        <f t="shared" si="8"/>
        <v>High Revenue</v>
      </c>
      <c r="L91" s="51" t="str">
        <f t="shared" si="9"/>
        <v>High Profit</v>
      </c>
      <c r="M91" s="53" t="str">
        <f t="shared" si="10"/>
        <v>Strategic Gold</v>
      </c>
      <c r="N91" s="56" t="str">
        <f t="shared" si="11"/>
        <v>Low Cost</v>
      </c>
      <c r="O91" s="33">
        <f t="shared" si="12"/>
        <v>0.66666666666666663</v>
      </c>
      <c r="P91" s="57">
        <v>0.28999999999999998</v>
      </c>
      <c r="Q91" s="48">
        <f t="shared" si="13"/>
        <v>6.0743244710194655E-2</v>
      </c>
      <c r="R91" s="60">
        <f t="shared" si="14"/>
        <v>0.37188964007972508</v>
      </c>
      <c r="S91" s="61" t="str">
        <f t="shared" si="15"/>
        <v>Medium Risk</v>
      </c>
    </row>
    <row r="92" spans="1:19" ht="15.6" x14ac:dyDescent="0.3">
      <c r="A92" s="36" t="s">
        <v>97</v>
      </c>
      <c r="B92" s="36" t="s">
        <v>362</v>
      </c>
      <c r="C92" s="36" t="s">
        <v>258</v>
      </c>
      <c r="D92" s="37">
        <v>406216.19999999995</v>
      </c>
      <c r="E92" s="38">
        <v>251539.69740955107</v>
      </c>
      <c r="F92" s="39">
        <v>0.61922615939381809</v>
      </c>
      <c r="G92" s="40">
        <v>0.28479907989883224</v>
      </c>
      <c r="H92" s="41">
        <v>0.62377860003443164</v>
      </c>
      <c r="I92" s="42">
        <v>4</v>
      </c>
      <c r="J92" s="43">
        <v>0.05</v>
      </c>
      <c r="K92" s="51" t="str">
        <f t="shared" si="8"/>
        <v>Low Revenue</v>
      </c>
      <c r="L92" s="51" t="str">
        <f t="shared" si="9"/>
        <v>High Profit</v>
      </c>
      <c r="M92" s="53" t="str">
        <f t="shared" si="10"/>
        <v>Hidden Gems</v>
      </c>
      <c r="N92" s="56" t="str">
        <f t="shared" si="11"/>
        <v>Low Cost</v>
      </c>
      <c r="O92" s="33">
        <f t="shared" si="12"/>
        <v>0.66666666666666663</v>
      </c>
      <c r="P92" s="57">
        <v>0.05</v>
      </c>
      <c r="Q92" s="48">
        <f t="shared" si="13"/>
        <v>0.37622139996556836</v>
      </c>
      <c r="R92" s="60">
        <f t="shared" si="14"/>
        <v>0.39453308665633718</v>
      </c>
      <c r="S92" s="61" t="str">
        <f t="shared" si="15"/>
        <v>Medium Risk</v>
      </c>
    </row>
    <row r="93" spans="1:19" ht="15.6" x14ac:dyDescent="0.3">
      <c r="A93" s="36" t="s">
        <v>98</v>
      </c>
      <c r="B93" s="36" t="s">
        <v>363</v>
      </c>
      <c r="C93" s="36" t="s">
        <v>259</v>
      </c>
      <c r="D93" s="37">
        <v>847278</v>
      </c>
      <c r="E93" s="38">
        <v>472870.79867264407</v>
      </c>
      <c r="F93" s="39">
        <v>0.55810583854725848</v>
      </c>
      <c r="G93" s="40">
        <v>0.32394326301402843</v>
      </c>
      <c r="H93" s="41">
        <v>0.89727469590387898</v>
      </c>
      <c r="I93" s="42">
        <v>2</v>
      </c>
      <c r="J93" s="43">
        <v>0.1</v>
      </c>
      <c r="K93" s="51" t="str">
        <f t="shared" si="8"/>
        <v>Low Revenue</v>
      </c>
      <c r="L93" s="51" t="str">
        <f t="shared" si="9"/>
        <v>High Profit</v>
      </c>
      <c r="M93" s="53" t="str">
        <f t="shared" si="10"/>
        <v>Hidden Gems</v>
      </c>
      <c r="N93" s="56" t="str">
        <f t="shared" si="11"/>
        <v>Low Cost</v>
      </c>
      <c r="O93" s="33">
        <f t="shared" si="12"/>
        <v>0.33333333333333331</v>
      </c>
      <c r="P93" s="57">
        <v>0.1</v>
      </c>
      <c r="Q93" s="48">
        <f t="shared" si="13"/>
        <v>0.10272530409612102</v>
      </c>
      <c r="R93" s="60">
        <f t="shared" si="14"/>
        <v>0.19415092456216965</v>
      </c>
      <c r="S93" s="61" t="str">
        <f t="shared" si="15"/>
        <v>Low Risk</v>
      </c>
    </row>
    <row r="94" spans="1:19" ht="15.6" x14ac:dyDescent="0.3">
      <c r="A94" s="36" t="s">
        <v>99</v>
      </c>
      <c r="B94" s="36" t="s">
        <v>364</v>
      </c>
      <c r="C94" s="36" t="s">
        <v>258</v>
      </c>
      <c r="D94" s="37">
        <v>334197.27</v>
      </c>
      <c r="E94" s="38">
        <v>92897.485184818142</v>
      </c>
      <c r="F94" s="39">
        <v>0.27797200493235069</v>
      </c>
      <c r="G94" s="40">
        <v>0.57681500510162753</v>
      </c>
      <c r="H94" s="41">
        <v>0.66670735011679239</v>
      </c>
      <c r="I94" s="42">
        <v>4</v>
      </c>
      <c r="J94" s="43">
        <v>0.01</v>
      </c>
      <c r="K94" s="51" t="str">
        <f t="shared" si="8"/>
        <v>Low Revenue</v>
      </c>
      <c r="L94" s="51" t="str">
        <f t="shared" si="9"/>
        <v>High Profit</v>
      </c>
      <c r="M94" s="53" t="str">
        <f t="shared" si="10"/>
        <v>Hidden Gems</v>
      </c>
      <c r="N94" s="56" t="str">
        <f t="shared" si="11"/>
        <v>Medium Cost</v>
      </c>
      <c r="O94" s="33">
        <f t="shared" si="12"/>
        <v>0.66666666666666663</v>
      </c>
      <c r="P94" s="57">
        <v>0.01</v>
      </c>
      <c r="Q94" s="48">
        <f t="shared" si="13"/>
        <v>0.33329264988320761</v>
      </c>
      <c r="R94" s="60">
        <f t="shared" si="14"/>
        <v>0.36965446163162896</v>
      </c>
      <c r="S94" s="61" t="str">
        <f t="shared" si="15"/>
        <v>Medium Risk</v>
      </c>
    </row>
    <row r="95" spans="1:19" ht="15.6" x14ac:dyDescent="0.3">
      <c r="A95" s="36" t="s">
        <v>100</v>
      </c>
      <c r="B95" s="36" t="s">
        <v>365</v>
      </c>
      <c r="C95" s="36" t="s">
        <v>259</v>
      </c>
      <c r="D95" s="37">
        <v>1140239.76</v>
      </c>
      <c r="E95" s="38">
        <v>423576.86548854155</v>
      </c>
      <c r="F95" s="39">
        <v>0.3714805257172768</v>
      </c>
      <c r="G95" s="40">
        <v>0.50146470949232647</v>
      </c>
      <c r="H95" s="41">
        <v>0.78196541093820437</v>
      </c>
      <c r="I95" s="42">
        <v>4</v>
      </c>
      <c r="J95" s="43">
        <v>0.12</v>
      </c>
      <c r="K95" s="51" t="str">
        <f t="shared" si="8"/>
        <v>Low Revenue</v>
      </c>
      <c r="L95" s="51" t="str">
        <f t="shared" si="9"/>
        <v>High Profit</v>
      </c>
      <c r="M95" s="53" t="str">
        <f t="shared" si="10"/>
        <v>Hidden Gems</v>
      </c>
      <c r="N95" s="56" t="str">
        <f t="shared" si="11"/>
        <v>Medium Cost</v>
      </c>
      <c r="O95" s="33">
        <f t="shared" si="12"/>
        <v>0.66666666666666663</v>
      </c>
      <c r="P95" s="57">
        <v>0.12</v>
      </c>
      <c r="Q95" s="48">
        <f t="shared" si="13"/>
        <v>0.21803458906179563</v>
      </c>
      <c r="R95" s="60">
        <f t="shared" si="14"/>
        <v>0.3680770433852053</v>
      </c>
      <c r="S95" s="61" t="str">
        <f t="shared" si="15"/>
        <v>Medium Risk</v>
      </c>
    </row>
    <row r="96" spans="1:19" ht="15.6" x14ac:dyDescent="0.3">
      <c r="A96" s="36" t="s">
        <v>101</v>
      </c>
      <c r="B96" s="36" t="s">
        <v>366</v>
      </c>
      <c r="C96" s="36" t="s">
        <v>259</v>
      </c>
      <c r="D96" s="37">
        <v>1706889.51</v>
      </c>
      <c r="E96" s="38">
        <v>884703.9607055462</v>
      </c>
      <c r="F96" s="39">
        <v>0.51831354960143039</v>
      </c>
      <c r="G96" s="40">
        <v>0.36152310760876372</v>
      </c>
      <c r="H96" s="41">
        <v>0.77318806980107124</v>
      </c>
      <c r="I96" s="42">
        <v>4</v>
      </c>
      <c r="J96" s="43">
        <v>0.19</v>
      </c>
      <c r="K96" s="51" t="str">
        <f t="shared" si="8"/>
        <v>High Revenue</v>
      </c>
      <c r="L96" s="51" t="str">
        <f t="shared" si="9"/>
        <v>High Profit</v>
      </c>
      <c r="M96" s="53" t="str">
        <f t="shared" si="10"/>
        <v>Strategic Gold</v>
      </c>
      <c r="N96" s="56" t="str">
        <f t="shared" si="11"/>
        <v>Low Cost</v>
      </c>
      <c r="O96" s="33">
        <f t="shared" si="12"/>
        <v>0.66666666666666663</v>
      </c>
      <c r="P96" s="57">
        <v>0.19</v>
      </c>
      <c r="Q96" s="48">
        <f t="shared" si="13"/>
        <v>0.22681193019892876</v>
      </c>
      <c r="R96" s="60">
        <f t="shared" si="14"/>
        <v>0.39171024572634527</v>
      </c>
      <c r="S96" s="61" t="str">
        <f t="shared" si="15"/>
        <v>Medium Risk</v>
      </c>
    </row>
    <row r="97" spans="1:19" ht="15.6" x14ac:dyDescent="0.3">
      <c r="A97" s="36" t="s">
        <v>102</v>
      </c>
      <c r="B97" s="36" t="s">
        <v>367</v>
      </c>
      <c r="C97" s="36" t="s">
        <v>259</v>
      </c>
      <c r="D97" s="37">
        <v>1882364.9400000002</v>
      </c>
      <c r="E97" s="38">
        <v>1198466.789328736</v>
      </c>
      <c r="F97" s="39">
        <v>0.63668142338474276</v>
      </c>
      <c r="G97" s="40">
        <v>0.26449175153039134</v>
      </c>
      <c r="H97" s="41">
        <v>0.81968174259526372</v>
      </c>
      <c r="I97" s="42">
        <v>2</v>
      </c>
      <c r="J97" s="43">
        <v>0.18</v>
      </c>
      <c r="K97" s="51" t="str">
        <f t="shared" si="8"/>
        <v>High Revenue</v>
      </c>
      <c r="L97" s="51" t="str">
        <f t="shared" si="9"/>
        <v>High Profit</v>
      </c>
      <c r="M97" s="53" t="str">
        <f t="shared" si="10"/>
        <v>Strategic Gold</v>
      </c>
      <c r="N97" s="56" t="str">
        <f t="shared" si="11"/>
        <v>Low Cost</v>
      </c>
      <c r="O97" s="33">
        <f t="shared" si="12"/>
        <v>0.33333333333333331</v>
      </c>
      <c r="P97" s="57">
        <v>0.18</v>
      </c>
      <c r="Q97" s="48">
        <f t="shared" si="13"/>
        <v>0.18031825740473628</v>
      </c>
      <c r="R97" s="60">
        <f t="shared" si="14"/>
        <v>0.24142881055475421</v>
      </c>
      <c r="S97" s="61" t="str">
        <f t="shared" si="15"/>
        <v>Low Risk</v>
      </c>
    </row>
    <row r="98" spans="1:19" ht="15.6" x14ac:dyDescent="0.3">
      <c r="A98" s="36" t="s">
        <v>103</v>
      </c>
      <c r="B98" s="36" t="s">
        <v>368</v>
      </c>
      <c r="C98" s="36" t="s">
        <v>258</v>
      </c>
      <c r="D98" s="37">
        <v>139908.26999999999</v>
      </c>
      <c r="E98" s="38">
        <v>-29812.706464172326</v>
      </c>
      <c r="F98" s="39">
        <v>-0.21308752130358219</v>
      </c>
      <c r="G98" s="40">
        <v>1.0053730204797759</v>
      </c>
      <c r="H98" s="41">
        <v>0.66083739194250679</v>
      </c>
      <c r="I98" s="42">
        <v>3</v>
      </c>
      <c r="J98" s="43">
        <v>7.0000000000000007E-2</v>
      </c>
      <c r="K98" s="51" t="str">
        <f t="shared" si="8"/>
        <v>Low Revenue</v>
      </c>
      <c r="L98" s="51" t="str">
        <f t="shared" si="9"/>
        <v>Low Profit</v>
      </c>
      <c r="M98" s="53" t="str">
        <f t="shared" si="10"/>
        <v>Value Destroyers</v>
      </c>
      <c r="N98" s="56" t="str">
        <f t="shared" si="11"/>
        <v>High Cost</v>
      </c>
      <c r="O98" s="33">
        <f t="shared" si="12"/>
        <v>0.5</v>
      </c>
      <c r="P98" s="57">
        <v>7.0000000000000007E-2</v>
      </c>
      <c r="Q98" s="48">
        <f t="shared" si="13"/>
        <v>0.33916260805749321</v>
      </c>
      <c r="R98" s="60">
        <f t="shared" si="14"/>
        <v>0.32274878241724797</v>
      </c>
      <c r="S98" s="61" t="str">
        <f t="shared" si="15"/>
        <v>Low Risk</v>
      </c>
    </row>
    <row r="99" spans="1:19" ht="15.6" x14ac:dyDescent="0.3">
      <c r="A99" s="36" t="s">
        <v>104</v>
      </c>
      <c r="B99" s="36" t="s">
        <v>369</v>
      </c>
      <c r="C99" s="36" t="s">
        <v>258</v>
      </c>
      <c r="D99" s="37">
        <v>438624.3</v>
      </c>
      <c r="E99" s="38">
        <v>168018.91983607566</v>
      </c>
      <c r="F99" s="39">
        <v>0.38305884976294213</v>
      </c>
      <c r="G99" s="40">
        <v>0.49598255272222719</v>
      </c>
      <c r="H99" s="41">
        <v>0.82429954969288088</v>
      </c>
      <c r="I99" s="42">
        <v>0</v>
      </c>
      <c r="J99" s="43">
        <v>0.03</v>
      </c>
      <c r="K99" s="51" t="str">
        <f t="shared" si="8"/>
        <v>Low Revenue</v>
      </c>
      <c r="L99" s="51" t="str">
        <f t="shared" si="9"/>
        <v>High Profit</v>
      </c>
      <c r="M99" s="53" t="str">
        <f t="shared" si="10"/>
        <v>Hidden Gems</v>
      </c>
      <c r="N99" s="56" t="str">
        <f t="shared" si="11"/>
        <v>Medium Cost</v>
      </c>
      <c r="O99" s="33">
        <f t="shared" si="12"/>
        <v>0</v>
      </c>
      <c r="P99" s="57">
        <v>0.03</v>
      </c>
      <c r="Q99" s="48">
        <f t="shared" si="13"/>
        <v>0.17570045030711912</v>
      </c>
      <c r="R99" s="60">
        <f t="shared" si="14"/>
        <v>6.1710135092135736E-2</v>
      </c>
      <c r="S99" s="61" t="str">
        <f t="shared" si="15"/>
        <v>Low Risk</v>
      </c>
    </row>
    <row r="100" spans="1:19" ht="15.6" x14ac:dyDescent="0.3">
      <c r="A100" s="36" t="s">
        <v>105</v>
      </c>
      <c r="B100" s="36" t="s">
        <v>370</v>
      </c>
      <c r="C100" s="36" t="s">
        <v>259</v>
      </c>
      <c r="D100" s="37">
        <v>1858758.4000000001</v>
      </c>
      <c r="E100" s="38">
        <v>1404053.9517970823</v>
      </c>
      <c r="F100" s="39">
        <v>0.75537194710032363</v>
      </c>
      <c r="G100" s="40">
        <v>0.14060461004507094</v>
      </c>
      <c r="H100" s="41">
        <v>0.84629581604223247</v>
      </c>
      <c r="I100" s="42">
        <v>3</v>
      </c>
      <c r="J100" s="43">
        <v>0.2</v>
      </c>
      <c r="K100" s="51" t="str">
        <f t="shared" si="8"/>
        <v>High Revenue</v>
      </c>
      <c r="L100" s="51" t="str">
        <f t="shared" si="9"/>
        <v>High Profit</v>
      </c>
      <c r="M100" s="53" t="str">
        <f t="shared" si="10"/>
        <v>Strategic Gold</v>
      </c>
      <c r="N100" s="56" t="str">
        <f t="shared" si="11"/>
        <v>Low Cost</v>
      </c>
      <c r="O100" s="33">
        <f t="shared" si="12"/>
        <v>0.5</v>
      </c>
      <c r="P100" s="57">
        <v>0.2</v>
      </c>
      <c r="Q100" s="48">
        <f t="shared" si="13"/>
        <v>0.15370418395776753</v>
      </c>
      <c r="R100" s="60">
        <f t="shared" si="14"/>
        <v>0.30611125518733029</v>
      </c>
      <c r="S100" s="61" t="str">
        <f t="shared" si="15"/>
        <v>Low Risk</v>
      </c>
    </row>
    <row r="101" spans="1:19" ht="15.6" x14ac:dyDescent="0.3">
      <c r="A101" s="36" t="s">
        <v>106</v>
      </c>
      <c r="B101" s="36" t="s">
        <v>371</v>
      </c>
      <c r="C101" s="36" t="s">
        <v>260</v>
      </c>
      <c r="D101" s="37">
        <v>4641915.24</v>
      </c>
      <c r="E101" s="38">
        <v>2511155.1329837493</v>
      </c>
      <c r="F101" s="39">
        <v>0.540973930619153</v>
      </c>
      <c r="G101" s="40">
        <v>0.35171689175436127</v>
      </c>
      <c r="H101" s="41">
        <v>0.96125629832892323</v>
      </c>
      <c r="I101" s="42">
        <v>3</v>
      </c>
      <c r="J101" s="43">
        <v>0.27</v>
      </c>
      <c r="K101" s="51" t="str">
        <f t="shared" si="8"/>
        <v>High Revenue</v>
      </c>
      <c r="L101" s="51" t="str">
        <f t="shared" si="9"/>
        <v>High Profit</v>
      </c>
      <c r="M101" s="53" t="str">
        <f t="shared" si="10"/>
        <v>Strategic Gold</v>
      </c>
      <c r="N101" s="56" t="str">
        <f t="shared" si="11"/>
        <v>Low Cost</v>
      </c>
      <c r="O101" s="33">
        <f t="shared" si="12"/>
        <v>0.5</v>
      </c>
      <c r="P101" s="57">
        <v>0.27</v>
      </c>
      <c r="Q101" s="48">
        <f t="shared" si="13"/>
        <v>3.8743701671076769E-2</v>
      </c>
      <c r="R101" s="60">
        <f t="shared" si="14"/>
        <v>0.29262311050132306</v>
      </c>
      <c r="S101" s="61" t="str">
        <f t="shared" si="15"/>
        <v>Low Risk</v>
      </c>
    </row>
    <row r="102" spans="1:19" ht="15.6" x14ac:dyDescent="0.3">
      <c r="A102" s="36" t="s">
        <v>107</v>
      </c>
      <c r="B102" s="36" t="s">
        <v>372</v>
      </c>
      <c r="C102" s="36" t="s">
        <v>260</v>
      </c>
      <c r="D102" s="37">
        <v>7975538.25</v>
      </c>
      <c r="E102" s="38">
        <v>4769533.1668500472</v>
      </c>
      <c r="F102" s="39">
        <v>0.59802022350655104</v>
      </c>
      <c r="G102" s="40">
        <v>0.30469667674153528</v>
      </c>
      <c r="H102" s="41">
        <v>0.9575543349683</v>
      </c>
      <c r="I102" s="42">
        <v>1</v>
      </c>
      <c r="J102" s="43">
        <v>0.25</v>
      </c>
      <c r="K102" s="51" t="str">
        <f t="shared" si="8"/>
        <v>High Revenue</v>
      </c>
      <c r="L102" s="51" t="str">
        <f t="shared" si="9"/>
        <v>High Profit</v>
      </c>
      <c r="M102" s="53" t="str">
        <f t="shared" si="10"/>
        <v>Strategic Gold</v>
      </c>
      <c r="N102" s="56" t="str">
        <f t="shared" si="11"/>
        <v>Low Cost</v>
      </c>
      <c r="O102" s="33">
        <f t="shared" si="12"/>
        <v>0.16666666666666666</v>
      </c>
      <c r="P102" s="57">
        <v>0.25</v>
      </c>
      <c r="Q102" s="48">
        <f t="shared" si="13"/>
        <v>4.2445665031699997E-2</v>
      </c>
      <c r="R102" s="60">
        <f t="shared" si="14"/>
        <v>0.15440036617617667</v>
      </c>
      <c r="S102" s="61" t="str">
        <f t="shared" si="15"/>
        <v>Low Risk</v>
      </c>
    </row>
    <row r="103" spans="1:19" ht="15.6" x14ac:dyDescent="0.3">
      <c r="A103" s="36" t="s">
        <v>108</v>
      </c>
      <c r="B103" s="36" t="s">
        <v>373</v>
      </c>
      <c r="C103" s="36" t="s">
        <v>259</v>
      </c>
      <c r="D103" s="37">
        <v>1155670.8799999999</v>
      </c>
      <c r="E103" s="38">
        <v>591602.6983167557</v>
      </c>
      <c r="F103" s="39">
        <v>0.5119127846474385</v>
      </c>
      <c r="G103" s="40">
        <v>0.34746916873080685</v>
      </c>
      <c r="H103" s="41">
        <v>0.71527719670600309</v>
      </c>
      <c r="I103" s="42">
        <v>2</v>
      </c>
      <c r="J103" s="43">
        <v>0.02</v>
      </c>
      <c r="K103" s="51" t="str">
        <f t="shared" si="8"/>
        <v>Low Revenue</v>
      </c>
      <c r="L103" s="51" t="str">
        <f t="shared" si="9"/>
        <v>High Profit</v>
      </c>
      <c r="M103" s="53" t="str">
        <f t="shared" si="10"/>
        <v>Hidden Gems</v>
      </c>
      <c r="N103" s="56" t="str">
        <f t="shared" si="11"/>
        <v>Low Cost</v>
      </c>
      <c r="O103" s="33">
        <f t="shared" si="12"/>
        <v>0.33333333333333331</v>
      </c>
      <c r="P103" s="57">
        <v>0.02</v>
      </c>
      <c r="Q103" s="48">
        <f t="shared" si="13"/>
        <v>0.28472280329399691</v>
      </c>
      <c r="R103" s="60">
        <f t="shared" si="14"/>
        <v>0.22475017432153241</v>
      </c>
      <c r="S103" s="61" t="str">
        <f t="shared" si="15"/>
        <v>Low Risk</v>
      </c>
    </row>
    <row r="104" spans="1:19" ht="15.6" x14ac:dyDescent="0.3">
      <c r="A104" s="36" t="s">
        <v>109</v>
      </c>
      <c r="B104" s="36" t="s">
        <v>374</v>
      </c>
      <c r="C104" s="36" t="s">
        <v>259</v>
      </c>
      <c r="D104" s="37">
        <v>1973101.2200000002</v>
      </c>
      <c r="E104" s="38">
        <v>1474646.0379231651</v>
      </c>
      <c r="F104" s="39">
        <v>0.74737475349752458</v>
      </c>
      <c r="G104" s="40">
        <v>0.14930810290614485</v>
      </c>
      <c r="H104" s="41">
        <v>0.84981327118967664</v>
      </c>
      <c r="I104" s="42">
        <v>4</v>
      </c>
      <c r="J104" s="43">
        <v>0.18</v>
      </c>
      <c r="K104" s="51" t="str">
        <f t="shared" si="8"/>
        <v>High Revenue</v>
      </c>
      <c r="L104" s="51" t="str">
        <f t="shared" si="9"/>
        <v>High Profit</v>
      </c>
      <c r="M104" s="53" t="str">
        <f t="shared" si="10"/>
        <v>Strategic Gold</v>
      </c>
      <c r="N104" s="56" t="str">
        <f t="shared" si="11"/>
        <v>Low Cost</v>
      </c>
      <c r="O104" s="33">
        <f t="shared" si="12"/>
        <v>0.66666666666666663</v>
      </c>
      <c r="P104" s="57">
        <v>0.18</v>
      </c>
      <c r="Q104" s="48">
        <f t="shared" si="13"/>
        <v>0.15018672881032336</v>
      </c>
      <c r="R104" s="60">
        <f t="shared" si="14"/>
        <v>0.36572268530976365</v>
      </c>
      <c r="S104" s="61" t="str">
        <f t="shared" si="15"/>
        <v>Medium Risk</v>
      </c>
    </row>
    <row r="105" spans="1:19" ht="15.6" x14ac:dyDescent="0.3">
      <c r="A105" s="36" t="s">
        <v>110</v>
      </c>
      <c r="B105" s="36" t="s">
        <v>375</v>
      </c>
      <c r="C105" s="36" t="s">
        <v>258</v>
      </c>
      <c r="D105" s="37">
        <v>308097.21999999997</v>
      </c>
      <c r="E105" s="38">
        <v>212857.44451092911</v>
      </c>
      <c r="F105" s="39">
        <v>0.69087752401962321</v>
      </c>
      <c r="G105" s="40">
        <v>0.19987197547579302</v>
      </c>
      <c r="H105" s="41">
        <v>0.51688910758596041</v>
      </c>
      <c r="I105" s="42">
        <v>0</v>
      </c>
      <c r="J105" s="43">
        <v>0.03</v>
      </c>
      <c r="K105" s="51" t="str">
        <f t="shared" si="8"/>
        <v>Low Revenue</v>
      </c>
      <c r="L105" s="51" t="str">
        <f t="shared" si="9"/>
        <v>High Profit</v>
      </c>
      <c r="M105" s="53" t="str">
        <f t="shared" si="10"/>
        <v>Hidden Gems</v>
      </c>
      <c r="N105" s="56" t="str">
        <f t="shared" si="11"/>
        <v>Low Cost</v>
      </c>
      <c r="O105" s="33">
        <f t="shared" si="12"/>
        <v>0</v>
      </c>
      <c r="P105" s="57">
        <v>0.03</v>
      </c>
      <c r="Q105" s="48">
        <f t="shared" si="13"/>
        <v>0.48311089241403959</v>
      </c>
      <c r="R105" s="60">
        <f t="shared" si="14"/>
        <v>0.15393326772421187</v>
      </c>
      <c r="S105" s="61" t="str">
        <f t="shared" si="15"/>
        <v>Low Risk</v>
      </c>
    </row>
    <row r="106" spans="1:19" ht="15.6" x14ac:dyDescent="0.3">
      <c r="A106" s="36" t="s">
        <v>111</v>
      </c>
      <c r="B106" s="36" t="s">
        <v>376</v>
      </c>
      <c r="C106" s="36" t="s">
        <v>259</v>
      </c>
      <c r="D106" s="37">
        <v>1578440.16</v>
      </c>
      <c r="E106" s="38">
        <v>787981.99249793135</v>
      </c>
      <c r="F106" s="39">
        <v>0.49921562594931151</v>
      </c>
      <c r="G106" s="40">
        <v>0.37417953177268376</v>
      </c>
      <c r="H106" s="41">
        <v>0.83903057287484573</v>
      </c>
      <c r="I106" s="42">
        <v>3</v>
      </c>
      <c r="J106" s="43">
        <v>0.01</v>
      </c>
      <c r="K106" s="51" t="str">
        <f t="shared" si="8"/>
        <v>High Revenue</v>
      </c>
      <c r="L106" s="51" t="str">
        <f t="shared" si="9"/>
        <v>High Profit</v>
      </c>
      <c r="M106" s="53" t="str">
        <f t="shared" si="10"/>
        <v>Strategic Gold</v>
      </c>
      <c r="N106" s="56" t="str">
        <f t="shared" si="11"/>
        <v>Low Cost</v>
      </c>
      <c r="O106" s="33">
        <f t="shared" si="12"/>
        <v>0.5</v>
      </c>
      <c r="P106" s="57">
        <v>0.01</v>
      </c>
      <c r="Q106" s="48">
        <f t="shared" si="13"/>
        <v>0.16096942712515427</v>
      </c>
      <c r="R106" s="60">
        <f t="shared" si="14"/>
        <v>0.25129082813754627</v>
      </c>
      <c r="S106" s="61" t="str">
        <f t="shared" si="15"/>
        <v>Low Risk</v>
      </c>
    </row>
    <row r="107" spans="1:19" ht="15.6" x14ac:dyDescent="0.3">
      <c r="A107" s="36" t="s">
        <v>112</v>
      </c>
      <c r="B107" s="36" t="s">
        <v>377</v>
      </c>
      <c r="C107" s="36" t="s">
        <v>258</v>
      </c>
      <c r="D107" s="37">
        <v>547964.75</v>
      </c>
      <c r="E107" s="38">
        <v>322738.39323383465</v>
      </c>
      <c r="F107" s="39">
        <v>0.58897655959408823</v>
      </c>
      <c r="G107" s="40">
        <v>0.31082291333520995</v>
      </c>
      <c r="H107" s="41">
        <v>0.70679958762367778</v>
      </c>
      <c r="I107" s="42">
        <v>3</v>
      </c>
      <c r="J107" s="43">
        <v>0.05</v>
      </c>
      <c r="K107" s="51" t="str">
        <f t="shared" si="8"/>
        <v>Low Revenue</v>
      </c>
      <c r="L107" s="51" t="str">
        <f t="shared" si="9"/>
        <v>High Profit</v>
      </c>
      <c r="M107" s="53" t="str">
        <f t="shared" si="10"/>
        <v>Hidden Gems</v>
      </c>
      <c r="N107" s="56" t="str">
        <f t="shared" si="11"/>
        <v>Low Cost</v>
      </c>
      <c r="O107" s="33">
        <f t="shared" si="12"/>
        <v>0.5</v>
      </c>
      <c r="P107" s="57">
        <v>0.05</v>
      </c>
      <c r="Q107" s="48">
        <f t="shared" si="13"/>
        <v>0.29320041237632222</v>
      </c>
      <c r="R107" s="60">
        <f t="shared" si="14"/>
        <v>0.30296012371289671</v>
      </c>
      <c r="S107" s="61" t="str">
        <f t="shared" si="15"/>
        <v>Low Risk</v>
      </c>
    </row>
    <row r="108" spans="1:19" ht="15.6" x14ac:dyDescent="0.3">
      <c r="A108" s="36" t="s">
        <v>113</v>
      </c>
      <c r="B108" s="36" t="s">
        <v>378</v>
      </c>
      <c r="C108" s="36" t="s">
        <v>259</v>
      </c>
      <c r="D108" s="37">
        <v>1637832.56</v>
      </c>
      <c r="E108" s="38">
        <v>718964.83855851321</v>
      </c>
      <c r="F108" s="39">
        <v>0.43897334569933888</v>
      </c>
      <c r="G108" s="40">
        <v>0.41585447538056025</v>
      </c>
      <c r="H108" s="41">
        <v>0.80984379606515644</v>
      </c>
      <c r="I108" s="42">
        <v>1</v>
      </c>
      <c r="J108" s="43">
        <v>0.09</v>
      </c>
      <c r="K108" s="51" t="str">
        <f t="shared" si="8"/>
        <v>High Revenue</v>
      </c>
      <c r="L108" s="51" t="str">
        <f t="shared" si="9"/>
        <v>High Profit</v>
      </c>
      <c r="M108" s="53" t="str">
        <f t="shared" si="10"/>
        <v>Strategic Gold</v>
      </c>
      <c r="N108" s="56" t="str">
        <f t="shared" si="11"/>
        <v>Medium Cost</v>
      </c>
      <c r="O108" s="33">
        <f t="shared" si="12"/>
        <v>0.16666666666666666</v>
      </c>
      <c r="P108" s="57">
        <v>0.09</v>
      </c>
      <c r="Q108" s="48">
        <f t="shared" si="13"/>
        <v>0.19015620393484356</v>
      </c>
      <c r="R108" s="60">
        <f t="shared" si="14"/>
        <v>0.15071352784711972</v>
      </c>
      <c r="S108" s="61" t="str">
        <f t="shared" si="15"/>
        <v>Low Risk</v>
      </c>
    </row>
    <row r="109" spans="1:19" ht="15.6" x14ac:dyDescent="0.3">
      <c r="A109" s="36" t="s">
        <v>114</v>
      </c>
      <c r="B109" s="36" t="s">
        <v>379</v>
      </c>
      <c r="C109" s="36" t="s">
        <v>259</v>
      </c>
      <c r="D109" s="37">
        <v>1142012.06</v>
      </c>
      <c r="E109" s="38">
        <v>529814.39385147451</v>
      </c>
      <c r="F109" s="39">
        <v>0.46393064697712078</v>
      </c>
      <c r="G109" s="40">
        <v>0.39385748693406963</v>
      </c>
      <c r="H109" s="41">
        <v>0.72248771051267224</v>
      </c>
      <c r="I109" s="42">
        <v>3</v>
      </c>
      <c r="J109" s="43">
        <v>0.14000000000000001</v>
      </c>
      <c r="K109" s="51" t="str">
        <f t="shared" si="8"/>
        <v>Low Revenue</v>
      </c>
      <c r="L109" s="51" t="str">
        <f t="shared" si="9"/>
        <v>High Profit</v>
      </c>
      <c r="M109" s="53" t="str">
        <f t="shared" si="10"/>
        <v>Hidden Gems</v>
      </c>
      <c r="N109" s="56" t="str">
        <f t="shared" si="11"/>
        <v>Low Cost</v>
      </c>
      <c r="O109" s="33">
        <f t="shared" si="12"/>
        <v>0.5</v>
      </c>
      <c r="P109" s="57">
        <v>0.14000000000000001</v>
      </c>
      <c r="Q109" s="48">
        <f t="shared" si="13"/>
        <v>0.27751228948732776</v>
      </c>
      <c r="R109" s="60">
        <f t="shared" si="14"/>
        <v>0.32525368684619838</v>
      </c>
      <c r="S109" s="61" t="str">
        <f t="shared" si="15"/>
        <v>Low Risk</v>
      </c>
    </row>
    <row r="110" spans="1:19" ht="15.6" x14ac:dyDescent="0.3">
      <c r="A110" s="36" t="s">
        <v>115</v>
      </c>
      <c r="B110" s="36" t="s">
        <v>380</v>
      </c>
      <c r="C110" s="36" t="s">
        <v>258</v>
      </c>
      <c r="D110" s="37">
        <v>449460.99</v>
      </c>
      <c r="E110" s="38">
        <v>231314.10221341701</v>
      </c>
      <c r="F110" s="39">
        <v>0.51464778336695471</v>
      </c>
      <c r="G110" s="40">
        <v>0.37542746479510936</v>
      </c>
      <c r="H110" s="41">
        <v>0.71932649646655644</v>
      </c>
      <c r="I110" s="42">
        <v>3</v>
      </c>
      <c r="J110" s="43">
        <v>0.01</v>
      </c>
      <c r="K110" s="51" t="str">
        <f t="shared" si="8"/>
        <v>Low Revenue</v>
      </c>
      <c r="L110" s="51" t="str">
        <f t="shared" si="9"/>
        <v>High Profit</v>
      </c>
      <c r="M110" s="53" t="str">
        <f t="shared" si="10"/>
        <v>Hidden Gems</v>
      </c>
      <c r="N110" s="56" t="str">
        <f t="shared" si="11"/>
        <v>Low Cost</v>
      </c>
      <c r="O110" s="33">
        <f t="shared" si="12"/>
        <v>0.5</v>
      </c>
      <c r="P110" s="57">
        <v>0.01</v>
      </c>
      <c r="Q110" s="48">
        <f t="shared" si="13"/>
        <v>0.28067350353344356</v>
      </c>
      <c r="R110" s="60">
        <f t="shared" si="14"/>
        <v>0.28720205106003305</v>
      </c>
      <c r="S110" s="61" t="str">
        <f t="shared" si="15"/>
        <v>Low Risk</v>
      </c>
    </row>
    <row r="111" spans="1:19" ht="15.6" x14ac:dyDescent="0.3">
      <c r="A111" s="36" t="s">
        <v>116</v>
      </c>
      <c r="B111" s="36" t="s">
        <v>381</v>
      </c>
      <c r="C111" s="36" t="s">
        <v>258</v>
      </c>
      <c r="D111" s="37">
        <v>218838.58</v>
      </c>
      <c r="E111" s="38">
        <v>29324.352566991271</v>
      </c>
      <c r="F111" s="39">
        <v>0.1339999216179856</v>
      </c>
      <c r="G111" s="40">
        <v>0.72313574690532179</v>
      </c>
      <c r="H111" s="41">
        <v>0.5071705505543449</v>
      </c>
      <c r="I111" s="42">
        <v>0</v>
      </c>
      <c r="J111" s="43">
        <v>0.06</v>
      </c>
      <c r="K111" s="51" t="str">
        <f t="shared" si="8"/>
        <v>Low Revenue</v>
      </c>
      <c r="L111" s="51" t="str">
        <f t="shared" si="9"/>
        <v>Low Profit</v>
      </c>
      <c r="M111" s="53" t="str">
        <f t="shared" si="10"/>
        <v>Value Destroyers</v>
      </c>
      <c r="N111" s="56" t="str">
        <f t="shared" si="11"/>
        <v>High Cost</v>
      </c>
      <c r="O111" s="33">
        <f t="shared" si="12"/>
        <v>0</v>
      </c>
      <c r="P111" s="57">
        <v>0.06</v>
      </c>
      <c r="Q111" s="48">
        <f t="shared" si="13"/>
        <v>0.4928294494456551</v>
      </c>
      <c r="R111" s="60">
        <f t="shared" si="14"/>
        <v>0.1658488348336965</v>
      </c>
      <c r="S111" s="61" t="str">
        <f t="shared" si="15"/>
        <v>Low Risk</v>
      </c>
    </row>
    <row r="112" spans="1:19" ht="15.6" x14ac:dyDescent="0.3">
      <c r="A112" s="36" t="s">
        <v>117</v>
      </c>
      <c r="B112" s="36" t="s">
        <v>382</v>
      </c>
      <c r="C112" s="36" t="s">
        <v>258</v>
      </c>
      <c r="D112" s="37">
        <v>220889.24000000002</v>
      </c>
      <c r="E112" s="38">
        <v>117396.49069126</v>
      </c>
      <c r="F112" s="39">
        <v>0.53147220159415631</v>
      </c>
      <c r="G112" s="40">
        <v>0.352710706958836</v>
      </c>
      <c r="H112" s="41">
        <v>0.77672726701141004</v>
      </c>
      <c r="I112" s="42">
        <v>4</v>
      </c>
      <c r="J112" s="43">
        <v>0.08</v>
      </c>
      <c r="K112" s="51" t="str">
        <f t="shared" si="8"/>
        <v>Low Revenue</v>
      </c>
      <c r="L112" s="51" t="str">
        <f t="shared" si="9"/>
        <v>High Profit</v>
      </c>
      <c r="M112" s="53" t="str">
        <f t="shared" si="10"/>
        <v>Hidden Gems</v>
      </c>
      <c r="N112" s="56" t="str">
        <f t="shared" si="11"/>
        <v>Low Cost</v>
      </c>
      <c r="O112" s="33">
        <f t="shared" si="12"/>
        <v>0.66666666666666663</v>
      </c>
      <c r="P112" s="57">
        <v>0.08</v>
      </c>
      <c r="Q112" s="48">
        <f t="shared" si="13"/>
        <v>0.22327273298858996</v>
      </c>
      <c r="R112" s="60">
        <f t="shared" si="14"/>
        <v>0.35764848656324366</v>
      </c>
      <c r="S112" s="61" t="str">
        <f t="shared" si="15"/>
        <v>Medium Risk</v>
      </c>
    </row>
    <row r="113" spans="1:19" ht="15.6" x14ac:dyDescent="0.3">
      <c r="A113" s="36" t="s">
        <v>118</v>
      </c>
      <c r="B113" s="36" t="s">
        <v>383</v>
      </c>
      <c r="C113" s="36" t="s">
        <v>260</v>
      </c>
      <c r="D113" s="37">
        <v>9563531.25</v>
      </c>
      <c r="E113" s="38">
        <v>6313980.8797776848</v>
      </c>
      <c r="F113" s="39">
        <v>0.66021438260869225</v>
      </c>
      <c r="G113" s="40">
        <v>0.2224680344930122</v>
      </c>
      <c r="H113" s="41">
        <v>0.91226869920631026</v>
      </c>
      <c r="I113" s="42">
        <v>5</v>
      </c>
      <c r="J113" s="43">
        <v>0.25</v>
      </c>
      <c r="K113" s="51" t="str">
        <f t="shared" si="8"/>
        <v>High Revenue</v>
      </c>
      <c r="L113" s="51" t="str">
        <f t="shared" si="9"/>
        <v>High Profit</v>
      </c>
      <c r="M113" s="53" t="str">
        <f t="shared" si="10"/>
        <v>Strategic Gold</v>
      </c>
      <c r="N113" s="56" t="str">
        <f t="shared" si="11"/>
        <v>Low Cost</v>
      </c>
      <c r="O113" s="33">
        <f t="shared" si="12"/>
        <v>0.83333333333333337</v>
      </c>
      <c r="P113" s="57">
        <v>0.25</v>
      </c>
      <c r="Q113" s="48">
        <f t="shared" si="13"/>
        <v>8.7731300793689737E-2</v>
      </c>
      <c r="R113" s="60">
        <f t="shared" si="14"/>
        <v>0.4346527235714403</v>
      </c>
      <c r="S113" s="61" t="str">
        <f t="shared" si="15"/>
        <v>Medium Risk</v>
      </c>
    </row>
    <row r="114" spans="1:19" ht="15.6" x14ac:dyDescent="0.3">
      <c r="A114" s="36" t="s">
        <v>119</v>
      </c>
      <c r="B114" s="36" t="s">
        <v>384</v>
      </c>
      <c r="C114" s="36" t="s">
        <v>258</v>
      </c>
      <c r="D114" s="37">
        <v>464847.57</v>
      </c>
      <c r="E114" s="38">
        <v>334303.36736751668</v>
      </c>
      <c r="F114" s="39">
        <v>0.71916772065199064</v>
      </c>
      <c r="G114" s="40">
        <v>0.18307076446586565</v>
      </c>
      <c r="H114" s="41">
        <v>0.76871075732428396</v>
      </c>
      <c r="I114" s="42">
        <v>5</v>
      </c>
      <c r="J114" s="43">
        <v>0.01</v>
      </c>
      <c r="K114" s="51" t="str">
        <f t="shared" si="8"/>
        <v>Low Revenue</v>
      </c>
      <c r="L114" s="51" t="str">
        <f t="shared" si="9"/>
        <v>High Profit</v>
      </c>
      <c r="M114" s="53" t="str">
        <f t="shared" si="10"/>
        <v>Hidden Gems</v>
      </c>
      <c r="N114" s="56" t="str">
        <f t="shared" si="11"/>
        <v>Low Cost</v>
      </c>
      <c r="O114" s="33">
        <f t="shared" si="12"/>
        <v>0.83333333333333337</v>
      </c>
      <c r="P114" s="57">
        <v>0.01</v>
      </c>
      <c r="Q114" s="48">
        <f t="shared" si="13"/>
        <v>0.23128924267571604</v>
      </c>
      <c r="R114" s="60">
        <f t="shared" si="14"/>
        <v>0.4057201061360482</v>
      </c>
      <c r="S114" s="61" t="str">
        <f t="shared" si="15"/>
        <v>Medium Risk</v>
      </c>
    </row>
    <row r="115" spans="1:19" ht="15.6" x14ac:dyDescent="0.3">
      <c r="A115" s="36" t="s">
        <v>120</v>
      </c>
      <c r="B115" s="36" t="s">
        <v>385</v>
      </c>
      <c r="C115" s="36" t="s">
        <v>259</v>
      </c>
      <c r="D115" s="37">
        <v>722547.6</v>
      </c>
      <c r="E115" s="38">
        <v>96353.843283411668</v>
      </c>
      <c r="F115" s="39">
        <v>0.13335293520234745</v>
      </c>
      <c r="G115" s="40">
        <v>0.72252679269850184</v>
      </c>
      <c r="H115" s="41">
        <v>0.89272123666257996</v>
      </c>
      <c r="I115" s="42">
        <v>1</v>
      </c>
      <c r="J115" s="43">
        <v>0.15</v>
      </c>
      <c r="K115" s="51" t="str">
        <f t="shared" si="8"/>
        <v>Low Revenue</v>
      </c>
      <c r="L115" s="51" t="str">
        <f t="shared" si="9"/>
        <v>Low Profit</v>
      </c>
      <c r="M115" s="53" t="str">
        <f t="shared" si="10"/>
        <v>Value Destroyers</v>
      </c>
      <c r="N115" s="56" t="str">
        <f t="shared" si="11"/>
        <v>High Cost</v>
      </c>
      <c r="O115" s="33">
        <f t="shared" si="12"/>
        <v>0.16666666666666666</v>
      </c>
      <c r="P115" s="57">
        <v>0.15</v>
      </c>
      <c r="Q115" s="48">
        <f t="shared" si="13"/>
        <v>0.10727876333742004</v>
      </c>
      <c r="R115" s="60">
        <f t="shared" si="14"/>
        <v>0.14385029566789267</v>
      </c>
      <c r="S115" s="61" t="str">
        <f t="shared" si="15"/>
        <v>Low Risk</v>
      </c>
    </row>
    <row r="116" spans="1:19" ht="15.6" x14ac:dyDescent="0.3">
      <c r="A116" s="36" t="s">
        <v>121</v>
      </c>
      <c r="B116" s="36" t="s">
        <v>386</v>
      </c>
      <c r="C116" s="36" t="s">
        <v>259</v>
      </c>
      <c r="D116" s="37">
        <v>1798340.16</v>
      </c>
      <c r="E116" s="38">
        <v>1374243.0227377159</v>
      </c>
      <c r="F116" s="39">
        <v>0.76417301537530913</v>
      </c>
      <c r="G116" s="40">
        <v>0.13436278929565806</v>
      </c>
      <c r="H116" s="41">
        <v>0.77036132368560761</v>
      </c>
      <c r="I116" s="42">
        <v>0</v>
      </c>
      <c r="J116" s="43">
        <v>0.04</v>
      </c>
      <c r="K116" s="51" t="str">
        <f t="shared" si="8"/>
        <v>High Revenue</v>
      </c>
      <c r="L116" s="51" t="str">
        <f t="shared" si="9"/>
        <v>High Profit</v>
      </c>
      <c r="M116" s="53" t="str">
        <f t="shared" si="10"/>
        <v>Strategic Gold</v>
      </c>
      <c r="N116" s="56" t="str">
        <f t="shared" si="11"/>
        <v>Low Cost</v>
      </c>
      <c r="O116" s="33">
        <f t="shared" si="12"/>
        <v>0</v>
      </c>
      <c r="P116" s="57">
        <v>0.04</v>
      </c>
      <c r="Q116" s="48">
        <f t="shared" si="13"/>
        <v>0.22963867631439239</v>
      </c>
      <c r="R116" s="60">
        <f t="shared" si="14"/>
        <v>8.089160289431771E-2</v>
      </c>
      <c r="S116" s="61" t="str">
        <f t="shared" si="15"/>
        <v>Low Risk</v>
      </c>
    </row>
    <row r="117" spans="1:19" ht="15.6" x14ac:dyDescent="0.3">
      <c r="A117" s="36" t="s">
        <v>122</v>
      </c>
      <c r="B117" s="36" t="s">
        <v>387</v>
      </c>
      <c r="C117" s="36" t="s">
        <v>260</v>
      </c>
      <c r="D117" s="37">
        <v>3423424</v>
      </c>
      <c r="E117" s="38">
        <v>1343785.4384884115</v>
      </c>
      <c r="F117" s="39">
        <v>0.39252673302763885</v>
      </c>
      <c r="G117" s="40">
        <v>0.42922232244676672</v>
      </c>
      <c r="H117" s="41">
        <v>0.93237821911193164</v>
      </c>
      <c r="I117" s="42">
        <v>1</v>
      </c>
      <c r="J117" s="43">
        <v>0.2</v>
      </c>
      <c r="K117" s="51" t="str">
        <f t="shared" si="8"/>
        <v>High Revenue</v>
      </c>
      <c r="L117" s="51" t="str">
        <f t="shared" si="9"/>
        <v>High Profit</v>
      </c>
      <c r="M117" s="53" t="str">
        <f t="shared" si="10"/>
        <v>Strategic Gold</v>
      </c>
      <c r="N117" s="56" t="str">
        <f t="shared" si="11"/>
        <v>Medium Cost</v>
      </c>
      <c r="O117" s="33">
        <f t="shared" si="12"/>
        <v>0.16666666666666666</v>
      </c>
      <c r="P117" s="57">
        <v>0.2</v>
      </c>
      <c r="Q117" s="48">
        <f t="shared" si="13"/>
        <v>6.7621780888068361E-2</v>
      </c>
      <c r="R117" s="60">
        <f t="shared" si="14"/>
        <v>0.14695320093308717</v>
      </c>
      <c r="S117" s="61" t="str">
        <f t="shared" si="15"/>
        <v>Low Risk</v>
      </c>
    </row>
    <row r="118" spans="1:19" ht="15.6" x14ac:dyDescent="0.3">
      <c r="A118" s="36" t="s">
        <v>123</v>
      </c>
      <c r="B118" s="36" t="s">
        <v>388</v>
      </c>
      <c r="C118" s="36" t="s">
        <v>260</v>
      </c>
      <c r="D118" s="37">
        <v>2576971.5999999996</v>
      </c>
      <c r="E118" s="38">
        <v>-538368.34676410782</v>
      </c>
      <c r="F118" s="39">
        <v>-0.20891512609766746</v>
      </c>
      <c r="G118" s="40">
        <v>0.92736373190919152</v>
      </c>
      <c r="H118" s="41">
        <v>0.91809919455415556</v>
      </c>
      <c r="I118" s="42">
        <v>4</v>
      </c>
      <c r="J118" s="43">
        <v>0.3</v>
      </c>
      <c r="K118" s="51" t="str">
        <f t="shared" si="8"/>
        <v>High Revenue</v>
      </c>
      <c r="L118" s="51" t="str">
        <f t="shared" si="9"/>
        <v>Low Profit</v>
      </c>
      <c r="M118" s="53" t="str">
        <f t="shared" si="10"/>
        <v>Margin Diluters</v>
      </c>
      <c r="N118" s="56" t="str">
        <f t="shared" si="11"/>
        <v>High Cost</v>
      </c>
      <c r="O118" s="33">
        <f t="shared" si="12"/>
        <v>0.66666666666666663</v>
      </c>
      <c r="P118" s="57">
        <v>0.3</v>
      </c>
      <c r="Q118" s="48">
        <f t="shared" si="13"/>
        <v>8.1900805445844438E-2</v>
      </c>
      <c r="R118" s="60">
        <f t="shared" si="14"/>
        <v>0.38123690830042001</v>
      </c>
      <c r="S118" s="61" t="str">
        <f t="shared" si="15"/>
        <v>Medium Risk</v>
      </c>
    </row>
    <row r="119" spans="1:19" ht="15.6" x14ac:dyDescent="0.3">
      <c r="A119" s="36" t="s">
        <v>124</v>
      </c>
      <c r="B119" s="36" t="s">
        <v>389</v>
      </c>
      <c r="C119" s="36" t="s">
        <v>260</v>
      </c>
      <c r="D119" s="37">
        <v>5888332.8000000007</v>
      </c>
      <c r="E119" s="38">
        <v>2930722.659627256</v>
      </c>
      <c r="F119" s="39">
        <v>0.49771688509644962</v>
      </c>
      <c r="G119" s="40">
        <v>0.34664480920643609</v>
      </c>
      <c r="H119" s="41">
        <v>0.95540324799049969</v>
      </c>
      <c r="I119" s="42">
        <v>2</v>
      </c>
      <c r="J119" s="43">
        <v>0.2</v>
      </c>
      <c r="K119" s="51" t="str">
        <f t="shared" si="8"/>
        <v>High Revenue</v>
      </c>
      <c r="L119" s="51" t="str">
        <f t="shared" si="9"/>
        <v>High Profit</v>
      </c>
      <c r="M119" s="53" t="str">
        <f t="shared" si="10"/>
        <v>Strategic Gold</v>
      </c>
      <c r="N119" s="56" t="str">
        <f t="shared" si="11"/>
        <v>Low Cost</v>
      </c>
      <c r="O119" s="33">
        <f t="shared" si="12"/>
        <v>0.33333333333333331</v>
      </c>
      <c r="P119" s="57">
        <v>0.2</v>
      </c>
      <c r="Q119" s="48">
        <f t="shared" si="13"/>
        <v>4.4596752009500307E-2</v>
      </c>
      <c r="R119" s="60">
        <f t="shared" si="14"/>
        <v>0.20671235893618342</v>
      </c>
      <c r="S119" s="61" t="str">
        <f t="shared" si="15"/>
        <v>Low Risk</v>
      </c>
    </row>
    <row r="120" spans="1:19" ht="15.6" x14ac:dyDescent="0.3">
      <c r="A120" s="36" t="s">
        <v>125</v>
      </c>
      <c r="B120" s="36" t="s">
        <v>390</v>
      </c>
      <c r="C120" s="36" t="s">
        <v>259</v>
      </c>
      <c r="D120" s="37">
        <v>1840658.58</v>
      </c>
      <c r="E120" s="38">
        <v>1204741.5817301858</v>
      </c>
      <c r="F120" s="39">
        <v>0.65451659249603245</v>
      </c>
      <c r="G120" s="40">
        <v>0.24047914415502303</v>
      </c>
      <c r="H120" s="41">
        <v>0.80407075007834128</v>
      </c>
      <c r="I120" s="42">
        <v>2</v>
      </c>
      <c r="J120" s="43">
        <v>0.19</v>
      </c>
      <c r="K120" s="51" t="str">
        <f t="shared" si="8"/>
        <v>High Revenue</v>
      </c>
      <c r="L120" s="51" t="str">
        <f t="shared" si="9"/>
        <v>High Profit</v>
      </c>
      <c r="M120" s="53" t="str">
        <f t="shared" si="10"/>
        <v>Strategic Gold</v>
      </c>
      <c r="N120" s="56" t="str">
        <f t="shared" si="11"/>
        <v>Low Cost</v>
      </c>
      <c r="O120" s="33">
        <f t="shared" si="12"/>
        <v>0.33333333333333331</v>
      </c>
      <c r="P120" s="57">
        <v>0.19</v>
      </c>
      <c r="Q120" s="48">
        <f t="shared" si="13"/>
        <v>0.19592924992165872</v>
      </c>
      <c r="R120" s="60">
        <f t="shared" si="14"/>
        <v>0.24911210830983094</v>
      </c>
      <c r="S120" s="61" t="str">
        <f t="shared" si="15"/>
        <v>Low Risk</v>
      </c>
    </row>
    <row r="121" spans="1:19" ht="15.6" x14ac:dyDescent="0.3">
      <c r="A121" s="36" t="s">
        <v>126</v>
      </c>
      <c r="B121" s="36" t="s">
        <v>391</v>
      </c>
      <c r="C121" s="36" t="s">
        <v>258</v>
      </c>
      <c r="D121" s="37">
        <v>342246.48</v>
      </c>
      <c r="E121" s="38">
        <v>80905.314370065549</v>
      </c>
      <c r="F121" s="39">
        <v>0.23639487649388111</v>
      </c>
      <c r="G121" s="40">
        <v>0.60947303241803985</v>
      </c>
      <c r="H121" s="41">
        <v>0.66094784381407246</v>
      </c>
      <c r="I121" s="42">
        <v>1</v>
      </c>
      <c r="J121" s="43">
        <v>0.06</v>
      </c>
      <c r="K121" s="51" t="str">
        <f t="shared" si="8"/>
        <v>Low Revenue</v>
      </c>
      <c r="L121" s="51" t="str">
        <f t="shared" si="9"/>
        <v>Low Profit</v>
      </c>
      <c r="M121" s="53" t="str">
        <f t="shared" si="10"/>
        <v>Value Destroyers</v>
      </c>
      <c r="N121" s="56" t="str">
        <f t="shared" si="11"/>
        <v>Medium Cost</v>
      </c>
      <c r="O121" s="33">
        <f t="shared" si="12"/>
        <v>0.16666666666666666</v>
      </c>
      <c r="P121" s="57">
        <v>0.06</v>
      </c>
      <c r="Q121" s="48">
        <f t="shared" si="13"/>
        <v>0.33905215618592754</v>
      </c>
      <c r="R121" s="60">
        <f t="shared" si="14"/>
        <v>0.18638231352244494</v>
      </c>
      <c r="S121" s="61" t="str">
        <f t="shared" si="15"/>
        <v>Low Risk</v>
      </c>
    </row>
    <row r="122" spans="1:19" ht="15.6" x14ac:dyDescent="0.3">
      <c r="A122" s="36" t="s">
        <v>127</v>
      </c>
      <c r="B122" s="36" t="s">
        <v>392</v>
      </c>
      <c r="C122" s="36" t="s">
        <v>260</v>
      </c>
      <c r="D122" s="37">
        <v>6195222.5999999996</v>
      </c>
      <c r="E122" s="38">
        <v>4335673.0232661171</v>
      </c>
      <c r="F122" s="39">
        <v>0.69984136215962878</v>
      </c>
      <c r="G122" s="40">
        <v>0.18969617007789197</v>
      </c>
      <c r="H122" s="41">
        <v>0.84931011781226995</v>
      </c>
      <c r="I122" s="42">
        <v>6</v>
      </c>
      <c r="J122" s="43">
        <v>0.3</v>
      </c>
      <c r="K122" s="51" t="str">
        <f t="shared" si="8"/>
        <v>High Revenue</v>
      </c>
      <c r="L122" s="51" t="str">
        <f t="shared" si="9"/>
        <v>High Profit</v>
      </c>
      <c r="M122" s="53" t="str">
        <f t="shared" si="10"/>
        <v>Strategic Gold</v>
      </c>
      <c r="N122" s="56" t="str">
        <f t="shared" si="11"/>
        <v>Low Cost</v>
      </c>
      <c r="O122" s="33">
        <f t="shared" si="12"/>
        <v>1</v>
      </c>
      <c r="P122" s="57">
        <v>0.3</v>
      </c>
      <c r="Q122" s="48">
        <f t="shared" si="13"/>
        <v>0.15068988218773005</v>
      </c>
      <c r="R122" s="60">
        <f t="shared" si="14"/>
        <v>0.53520696465631901</v>
      </c>
      <c r="S122" s="61" t="str">
        <f t="shared" si="15"/>
        <v>Medium Risk</v>
      </c>
    </row>
    <row r="123" spans="1:19" ht="15.6" x14ac:dyDescent="0.3">
      <c r="A123" s="36" t="s">
        <v>128</v>
      </c>
      <c r="B123" s="36" t="s">
        <v>393</v>
      </c>
      <c r="C123" s="36" t="s">
        <v>258</v>
      </c>
      <c r="D123" s="37">
        <v>156288.32999999999</v>
      </c>
      <c r="E123" s="38">
        <v>-29179.804216962344</v>
      </c>
      <c r="F123" s="39">
        <v>-0.18670494602483978</v>
      </c>
      <c r="G123" s="40">
        <v>0.98855749498379064</v>
      </c>
      <c r="H123" s="41">
        <v>0.51189952225760338</v>
      </c>
      <c r="I123" s="42">
        <v>4</v>
      </c>
      <c r="J123" s="43">
        <v>0.01</v>
      </c>
      <c r="K123" s="51" t="str">
        <f t="shared" si="8"/>
        <v>Low Revenue</v>
      </c>
      <c r="L123" s="51" t="str">
        <f t="shared" si="9"/>
        <v>Low Profit</v>
      </c>
      <c r="M123" s="53" t="str">
        <f t="shared" si="10"/>
        <v>Value Destroyers</v>
      </c>
      <c r="N123" s="56" t="str">
        <f t="shared" si="11"/>
        <v>High Cost</v>
      </c>
      <c r="O123" s="33">
        <f t="shared" si="12"/>
        <v>0.66666666666666663</v>
      </c>
      <c r="P123" s="57">
        <v>0.01</v>
      </c>
      <c r="Q123" s="48">
        <f t="shared" si="13"/>
        <v>0.48810047774239662</v>
      </c>
      <c r="R123" s="60">
        <f t="shared" si="14"/>
        <v>0.41609680998938564</v>
      </c>
      <c r="S123" s="61" t="str">
        <f t="shared" si="15"/>
        <v>Medium Risk</v>
      </c>
    </row>
    <row r="124" spans="1:19" ht="15.6" x14ac:dyDescent="0.3">
      <c r="A124" s="36" t="s">
        <v>129</v>
      </c>
      <c r="B124" s="36" t="s">
        <v>394</v>
      </c>
      <c r="C124" s="36" t="s">
        <v>260</v>
      </c>
      <c r="D124" s="37">
        <v>6343687.0199999996</v>
      </c>
      <c r="E124" s="38">
        <v>3778971.2194449925</v>
      </c>
      <c r="F124" s="39">
        <v>0.59570581075814055</v>
      </c>
      <c r="G124" s="40">
        <v>0.30177718320031499</v>
      </c>
      <c r="H124" s="41">
        <v>0.95884743366348557</v>
      </c>
      <c r="I124" s="42">
        <v>6</v>
      </c>
      <c r="J124" s="43">
        <v>0.34</v>
      </c>
      <c r="K124" s="51" t="str">
        <f t="shared" si="8"/>
        <v>High Revenue</v>
      </c>
      <c r="L124" s="51" t="str">
        <f t="shared" si="9"/>
        <v>High Profit</v>
      </c>
      <c r="M124" s="53" t="str">
        <f t="shared" si="10"/>
        <v>Strategic Gold</v>
      </c>
      <c r="N124" s="56" t="str">
        <f t="shared" si="11"/>
        <v>Low Cost</v>
      </c>
      <c r="O124" s="33">
        <f t="shared" si="12"/>
        <v>1</v>
      </c>
      <c r="P124" s="57">
        <v>0.34</v>
      </c>
      <c r="Q124" s="48">
        <f t="shared" si="13"/>
        <v>4.1152566336514429E-2</v>
      </c>
      <c r="R124" s="60">
        <f t="shared" si="14"/>
        <v>0.51434576990095437</v>
      </c>
      <c r="S124" s="61" t="str">
        <f t="shared" si="15"/>
        <v>Medium Risk</v>
      </c>
    </row>
    <row r="125" spans="1:19" ht="15.6" x14ac:dyDescent="0.3">
      <c r="A125" s="36" t="s">
        <v>130</v>
      </c>
      <c r="B125" s="36" t="s">
        <v>395</v>
      </c>
      <c r="C125" s="36" t="s">
        <v>260</v>
      </c>
      <c r="D125" s="37">
        <v>5513104.0800000001</v>
      </c>
      <c r="E125" s="38">
        <v>2281563.4574212977</v>
      </c>
      <c r="F125" s="39">
        <v>0.41384371205654757</v>
      </c>
      <c r="G125" s="40">
        <v>0.42486591328781881</v>
      </c>
      <c r="H125" s="41">
        <v>0.85692493950155901</v>
      </c>
      <c r="I125" s="42">
        <v>1</v>
      </c>
      <c r="J125" s="43">
        <v>0.28000000000000003</v>
      </c>
      <c r="K125" s="51" t="str">
        <f t="shared" si="8"/>
        <v>High Revenue</v>
      </c>
      <c r="L125" s="51" t="str">
        <f t="shared" si="9"/>
        <v>High Profit</v>
      </c>
      <c r="M125" s="53" t="str">
        <f t="shared" si="10"/>
        <v>Strategic Gold</v>
      </c>
      <c r="N125" s="56" t="str">
        <f t="shared" si="11"/>
        <v>Medium Cost</v>
      </c>
      <c r="O125" s="33">
        <f t="shared" si="12"/>
        <v>0.16666666666666666</v>
      </c>
      <c r="P125" s="57">
        <v>0.28000000000000003</v>
      </c>
      <c r="Q125" s="48">
        <f t="shared" si="13"/>
        <v>0.14307506049844099</v>
      </c>
      <c r="R125" s="60">
        <f t="shared" si="14"/>
        <v>0.19358918481619897</v>
      </c>
      <c r="S125" s="61" t="str">
        <f t="shared" si="15"/>
        <v>Low Risk</v>
      </c>
    </row>
    <row r="126" spans="1:19" ht="15.6" x14ac:dyDescent="0.3">
      <c r="A126" s="36" t="s">
        <v>131</v>
      </c>
      <c r="B126" s="36" t="s">
        <v>396</v>
      </c>
      <c r="C126" s="36" t="s">
        <v>259</v>
      </c>
      <c r="D126" s="37">
        <v>2096209.65</v>
      </c>
      <c r="E126" s="38">
        <v>1323892.2938513819</v>
      </c>
      <c r="F126" s="39">
        <v>0.63156483124261065</v>
      </c>
      <c r="G126" s="40">
        <v>0.26385719577237898</v>
      </c>
      <c r="H126" s="41">
        <v>0.88936268548069275</v>
      </c>
      <c r="I126" s="42">
        <v>4</v>
      </c>
      <c r="J126" s="43">
        <v>0.15</v>
      </c>
      <c r="K126" s="51" t="str">
        <f t="shared" si="8"/>
        <v>High Revenue</v>
      </c>
      <c r="L126" s="51" t="str">
        <f t="shared" si="9"/>
        <v>High Profit</v>
      </c>
      <c r="M126" s="53" t="str">
        <f t="shared" si="10"/>
        <v>Strategic Gold</v>
      </c>
      <c r="N126" s="56" t="str">
        <f t="shared" si="11"/>
        <v>Low Cost</v>
      </c>
      <c r="O126" s="33">
        <f t="shared" si="12"/>
        <v>0.66666666666666663</v>
      </c>
      <c r="P126" s="57">
        <v>0.15</v>
      </c>
      <c r="Q126" s="48">
        <f t="shared" si="13"/>
        <v>0.11063731451930725</v>
      </c>
      <c r="R126" s="60">
        <f t="shared" si="14"/>
        <v>0.3448578610224588</v>
      </c>
      <c r="S126" s="61" t="str">
        <f t="shared" si="15"/>
        <v>Low Risk</v>
      </c>
    </row>
    <row r="127" spans="1:19" ht="15.6" x14ac:dyDescent="0.3">
      <c r="A127" s="36" t="s">
        <v>132</v>
      </c>
      <c r="B127" s="36" t="s">
        <v>397</v>
      </c>
      <c r="C127" s="36" t="s">
        <v>259</v>
      </c>
      <c r="D127" s="37">
        <v>1666013.72</v>
      </c>
      <c r="E127" s="38">
        <v>962692.81332957442</v>
      </c>
      <c r="F127" s="39">
        <v>0.57784206802905225</v>
      </c>
      <c r="G127" s="40">
        <v>0.30011757646269566</v>
      </c>
      <c r="H127" s="41">
        <v>0.77415453453038241</v>
      </c>
      <c r="I127" s="42">
        <v>0</v>
      </c>
      <c r="J127" s="43">
        <v>0.02</v>
      </c>
      <c r="K127" s="51" t="str">
        <f t="shared" si="8"/>
        <v>High Revenue</v>
      </c>
      <c r="L127" s="51" t="str">
        <f t="shared" si="9"/>
        <v>High Profit</v>
      </c>
      <c r="M127" s="53" t="str">
        <f t="shared" si="10"/>
        <v>Strategic Gold</v>
      </c>
      <c r="N127" s="56" t="str">
        <f t="shared" si="11"/>
        <v>Low Cost</v>
      </c>
      <c r="O127" s="33">
        <f t="shared" si="12"/>
        <v>0</v>
      </c>
      <c r="P127" s="57">
        <v>0.02</v>
      </c>
      <c r="Q127" s="48">
        <f t="shared" si="13"/>
        <v>0.22584546546961759</v>
      </c>
      <c r="R127" s="60">
        <f t="shared" si="14"/>
        <v>7.3753639640885285E-2</v>
      </c>
      <c r="S127" s="61" t="str">
        <f t="shared" si="15"/>
        <v>Low Risk</v>
      </c>
    </row>
    <row r="128" spans="1:19" ht="15.6" x14ac:dyDescent="0.3">
      <c r="A128" s="36" t="s">
        <v>133</v>
      </c>
      <c r="B128" s="36" t="s">
        <v>398</v>
      </c>
      <c r="C128" s="36" t="s">
        <v>260</v>
      </c>
      <c r="D128" s="37">
        <v>9473799.0599999987</v>
      </c>
      <c r="E128" s="38">
        <v>7120923.6373338923</v>
      </c>
      <c r="F128" s="39">
        <v>0.75164393842800092</v>
      </c>
      <c r="G128" s="40">
        <v>0.16464250403892355</v>
      </c>
      <c r="H128" s="41">
        <v>0.85099566743927513</v>
      </c>
      <c r="I128" s="42">
        <v>1</v>
      </c>
      <c r="J128" s="43">
        <v>0.34</v>
      </c>
      <c r="K128" s="51" t="str">
        <f t="shared" si="8"/>
        <v>High Revenue</v>
      </c>
      <c r="L128" s="51" t="str">
        <f t="shared" si="9"/>
        <v>High Profit</v>
      </c>
      <c r="M128" s="53" t="str">
        <f t="shared" si="10"/>
        <v>Strategic Gold</v>
      </c>
      <c r="N128" s="56" t="str">
        <f t="shared" si="11"/>
        <v>Low Cost</v>
      </c>
      <c r="O128" s="33">
        <f t="shared" si="12"/>
        <v>0.16666666666666666</v>
      </c>
      <c r="P128" s="57">
        <v>0.34</v>
      </c>
      <c r="Q128" s="48">
        <f t="shared" si="13"/>
        <v>0.14900433256072487</v>
      </c>
      <c r="R128" s="60">
        <f t="shared" si="14"/>
        <v>0.21336796643488415</v>
      </c>
      <c r="S128" s="61" t="str">
        <f t="shared" si="15"/>
        <v>Low Risk</v>
      </c>
    </row>
    <row r="129" spans="1:19" ht="15.6" x14ac:dyDescent="0.3">
      <c r="A129" s="36" t="s">
        <v>134</v>
      </c>
      <c r="B129" s="36" t="s">
        <v>399</v>
      </c>
      <c r="C129" s="36" t="s">
        <v>259</v>
      </c>
      <c r="D129" s="37">
        <v>1851604.16</v>
      </c>
      <c r="E129" s="38">
        <v>1376972.5719282185</v>
      </c>
      <c r="F129" s="39">
        <v>0.74366465666625992</v>
      </c>
      <c r="G129" s="40">
        <v>0.14836864484037454</v>
      </c>
      <c r="H129" s="41">
        <v>0.76121833847535814</v>
      </c>
      <c r="I129" s="42">
        <v>2</v>
      </c>
      <c r="J129" s="43">
        <v>0.02</v>
      </c>
      <c r="K129" s="51" t="str">
        <f t="shared" si="8"/>
        <v>High Revenue</v>
      </c>
      <c r="L129" s="51" t="str">
        <f t="shared" si="9"/>
        <v>High Profit</v>
      </c>
      <c r="M129" s="53" t="str">
        <f t="shared" si="10"/>
        <v>Strategic Gold</v>
      </c>
      <c r="N129" s="56" t="str">
        <f t="shared" si="11"/>
        <v>Low Cost</v>
      </c>
      <c r="O129" s="33">
        <f t="shared" si="12"/>
        <v>0.33333333333333331</v>
      </c>
      <c r="P129" s="57">
        <v>0.02</v>
      </c>
      <c r="Q129" s="48">
        <f t="shared" si="13"/>
        <v>0.23878166152464186</v>
      </c>
      <c r="R129" s="60">
        <f t="shared" si="14"/>
        <v>0.2109678317907259</v>
      </c>
      <c r="S129" s="61" t="str">
        <f t="shared" si="15"/>
        <v>Low Risk</v>
      </c>
    </row>
    <row r="130" spans="1:19" ht="15.6" x14ac:dyDescent="0.3">
      <c r="A130" s="36" t="s">
        <v>135</v>
      </c>
      <c r="B130" s="36" t="s">
        <v>400</v>
      </c>
      <c r="C130" s="36" t="s">
        <v>258</v>
      </c>
      <c r="D130" s="37">
        <v>436430.61</v>
      </c>
      <c r="E130" s="38">
        <v>275694.95850850467</v>
      </c>
      <c r="F130" s="39">
        <v>0.63170399186368864</v>
      </c>
      <c r="G130" s="40">
        <v>0.25215921495515636</v>
      </c>
      <c r="H130" s="41">
        <v>0.73703292321326996</v>
      </c>
      <c r="I130" s="42">
        <v>3</v>
      </c>
      <c r="J130" s="43">
        <v>0.01</v>
      </c>
      <c r="K130" s="51" t="str">
        <f t="shared" si="8"/>
        <v>Low Revenue</v>
      </c>
      <c r="L130" s="51" t="str">
        <f t="shared" si="9"/>
        <v>High Profit</v>
      </c>
      <c r="M130" s="53" t="str">
        <f t="shared" si="10"/>
        <v>Hidden Gems</v>
      </c>
      <c r="N130" s="56" t="str">
        <f t="shared" si="11"/>
        <v>Low Cost</v>
      </c>
      <c r="O130" s="33">
        <f t="shared" si="12"/>
        <v>0.5</v>
      </c>
      <c r="P130" s="57">
        <v>0.01</v>
      </c>
      <c r="Q130" s="48">
        <f t="shared" si="13"/>
        <v>0.26296707678673004</v>
      </c>
      <c r="R130" s="60">
        <f t="shared" si="14"/>
        <v>0.28189012303601901</v>
      </c>
      <c r="S130" s="61" t="str">
        <f t="shared" si="15"/>
        <v>Low Risk</v>
      </c>
    </row>
    <row r="131" spans="1:19" ht="15.6" x14ac:dyDescent="0.3">
      <c r="A131" s="36" t="s">
        <v>136</v>
      </c>
      <c r="B131" s="36" t="s">
        <v>401</v>
      </c>
      <c r="C131" s="36" t="s">
        <v>258</v>
      </c>
      <c r="D131" s="37">
        <v>348045.04</v>
      </c>
      <c r="E131" s="38">
        <v>139751.69835617871</v>
      </c>
      <c r="F131" s="39">
        <v>0.40153337153196816</v>
      </c>
      <c r="G131" s="40">
        <v>0.46726711002690918</v>
      </c>
      <c r="H131" s="41">
        <v>0.57033151248979941</v>
      </c>
      <c r="I131" s="42">
        <v>2</v>
      </c>
      <c r="J131" s="43">
        <v>0.02</v>
      </c>
      <c r="K131" s="51" t="str">
        <f t="shared" si="8"/>
        <v>Low Revenue</v>
      </c>
      <c r="L131" s="51" t="str">
        <f t="shared" si="9"/>
        <v>High Profit</v>
      </c>
      <c r="M131" s="53" t="str">
        <f t="shared" si="10"/>
        <v>Hidden Gems</v>
      </c>
      <c r="N131" s="56" t="str">
        <f t="shared" si="11"/>
        <v>Medium Cost</v>
      </c>
      <c r="O131" s="33">
        <f t="shared" si="12"/>
        <v>0.33333333333333331</v>
      </c>
      <c r="P131" s="57">
        <v>0.02</v>
      </c>
      <c r="Q131" s="48">
        <f t="shared" si="13"/>
        <v>0.42966848751020059</v>
      </c>
      <c r="R131" s="60">
        <f t="shared" si="14"/>
        <v>0.2682338795863935</v>
      </c>
      <c r="S131" s="61" t="str">
        <f t="shared" si="15"/>
        <v>Low Risk</v>
      </c>
    </row>
    <row r="132" spans="1:19" ht="15.6" x14ac:dyDescent="0.3">
      <c r="A132" s="36" t="s">
        <v>137</v>
      </c>
      <c r="B132" s="36" t="s">
        <v>402</v>
      </c>
      <c r="C132" s="36" t="s">
        <v>259</v>
      </c>
      <c r="D132" s="37">
        <v>1191276.5899999999</v>
      </c>
      <c r="E132" s="38">
        <v>785883.72327489569</v>
      </c>
      <c r="F132" s="39">
        <v>0.65969878857007991</v>
      </c>
      <c r="G132" s="40">
        <v>0.24554331248967129</v>
      </c>
      <c r="H132" s="41">
        <v>0.76071004409415999</v>
      </c>
      <c r="I132" s="42">
        <v>4</v>
      </c>
      <c r="J132" s="43">
        <v>0.17</v>
      </c>
      <c r="K132" s="51" t="str">
        <f t="shared" ref="K132:K195" si="16">IF(D132&gt;=MEDIAN(D132:D381), "High Revenue", "Low Revenue")</f>
        <v>High Revenue</v>
      </c>
      <c r="L132" s="51" t="str">
        <f t="shared" ref="L132:L195" si="17">IF(F132&gt;=0.25, "High Profit", "Low Profit")</f>
        <v>High Profit</v>
      </c>
      <c r="M132" s="53" t="str">
        <f t="shared" ref="M132:M195" si="18">IF(AND(K132="High Revenue", L132="High Profit"), "Strategic Gold", IF(AND(K132="High Revenue", L132="Low Profit"), "Margin Diluters", IF(AND(K132="Low Revenue", L132="High Profit"), "Hidden Gems", "Value Destroyers")))</f>
        <v>Strategic Gold</v>
      </c>
      <c r="N132" s="56" t="str">
        <f t="shared" ref="N132:N195" si="19">IF(G132&lt;0.4,"Low Cost",IF(G132&lt;=0.7,"Medium Cost","High Cost"))</f>
        <v>Low Cost</v>
      </c>
      <c r="O132" s="33">
        <f t="shared" ref="O132:O195" si="20">I132/MAX(I132:I381)</f>
        <v>0.66666666666666663</v>
      </c>
      <c r="P132" s="57">
        <v>0.17</v>
      </c>
      <c r="Q132" s="48">
        <f t="shared" ref="Q132:Q195" si="21">1-H132</f>
        <v>0.23928995590584001</v>
      </c>
      <c r="R132" s="60">
        <f t="shared" ref="R132:R195" si="22">0.4*O132+0.3*P132+0.3*Q132</f>
        <v>0.38945365343841865</v>
      </c>
      <c r="S132" s="61" t="str">
        <f t="shared" ref="S132:S195" si="23">IF(R132&lt;0.35, "Low Risk", IF(R132&lt;=0.65, "Medium Risk", "High Risk"))</f>
        <v>Medium Risk</v>
      </c>
    </row>
    <row r="133" spans="1:19" ht="15.6" x14ac:dyDescent="0.3">
      <c r="A133" s="36" t="s">
        <v>138</v>
      </c>
      <c r="B133" s="36" t="s">
        <v>403</v>
      </c>
      <c r="C133" s="36" t="s">
        <v>260</v>
      </c>
      <c r="D133" s="37">
        <v>5166392.5999999996</v>
      </c>
      <c r="E133" s="38">
        <v>3016665.6683639241</v>
      </c>
      <c r="F133" s="39">
        <v>0.58390174768443348</v>
      </c>
      <c r="G133" s="40">
        <v>0.30754921722363882</v>
      </c>
      <c r="H133" s="41">
        <v>0.89239177325096608</v>
      </c>
      <c r="I133" s="42">
        <v>3</v>
      </c>
      <c r="J133" s="43">
        <v>0.24</v>
      </c>
      <c r="K133" s="51" t="str">
        <f t="shared" si="16"/>
        <v>High Revenue</v>
      </c>
      <c r="L133" s="51" t="str">
        <f t="shared" si="17"/>
        <v>High Profit</v>
      </c>
      <c r="M133" s="53" t="str">
        <f t="shared" si="18"/>
        <v>Strategic Gold</v>
      </c>
      <c r="N133" s="56" t="str">
        <f t="shared" si="19"/>
        <v>Low Cost</v>
      </c>
      <c r="O133" s="33">
        <f t="shared" si="20"/>
        <v>0.5</v>
      </c>
      <c r="P133" s="57">
        <v>0.24</v>
      </c>
      <c r="Q133" s="48">
        <f t="shared" si="21"/>
        <v>0.10760822674903392</v>
      </c>
      <c r="R133" s="60">
        <f t="shared" si="22"/>
        <v>0.30428246802471021</v>
      </c>
      <c r="S133" s="61" t="str">
        <f t="shared" si="23"/>
        <v>Low Risk</v>
      </c>
    </row>
    <row r="134" spans="1:19" ht="15.6" x14ac:dyDescent="0.3">
      <c r="A134" s="36" t="s">
        <v>139</v>
      </c>
      <c r="B134" s="36" t="s">
        <v>404</v>
      </c>
      <c r="C134" s="36" t="s">
        <v>258</v>
      </c>
      <c r="D134" s="37">
        <v>274752.59999999998</v>
      </c>
      <c r="E134" s="38">
        <v>125819.20898602472</v>
      </c>
      <c r="F134" s="39">
        <v>0.45793637252577313</v>
      </c>
      <c r="G134" s="40">
        <v>0.41025999389996676</v>
      </c>
      <c r="H134" s="41">
        <v>0.81497810251384251</v>
      </c>
      <c r="I134" s="42">
        <v>0</v>
      </c>
      <c r="J134" s="43">
        <v>0.06</v>
      </c>
      <c r="K134" s="51" t="str">
        <f t="shared" si="16"/>
        <v>Low Revenue</v>
      </c>
      <c r="L134" s="51" t="str">
        <f t="shared" si="17"/>
        <v>High Profit</v>
      </c>
      <c r="M134" s="53" t="str">
        <f t="shared" si="18"/>
        <v>Hidden Gems</v>
      </c>
      <c r="N134" s="56" t="str">
        <f t="shared" si="19"/>
        <v>Medium Cost</v>
      </c>
      <c r="O134" s="33">
        <f t="shared" si="20"/>
        <v>0</v>
      </c>
      <c r="P134" s="57">
        <v>0.06</v>
      </c>
      <c r="Q134" s="48">
        <f t="shared" si="21"/>
        <v>0.18502189748615749</v>
      </c>
      <c r="R134" s="60">
        <f t="shared" si="22"/>
        <v>7.3506569245847239E-2</v>
      </c>
      <c r="S134" s="61" t="str">
        <f t="shared" si="23"/>
        <v>Low Risk</v>
      </c>
    </row>
    <row r="135" spans="1:19" ht="15.6" x14ac:dyDescent="0.3">
      <c r="A135" s="36" t="s">
        <v>140</v>
      </c>
      <c r="B135" s="36" t="s">
        <v>405</v>
      </c>
      <c r="C135" s="36" t="s">
        <v>260</v>
      </c>
      <c r="D135" s="37">
        <v>5985811.6600000001</v>
      </c>
      <c r="E135" s="38">
        <v>3715522.1648714351</v>
      </c>
      <c r="F135" s="39">
        <v>0.62072152882796094</v>
      </c>
      <c r="G135" s="40">
        <v>0.24492250730120699</v>
      </c>
      <c r="H135" s="41">
        <v>0.82778309739715839</v>
      </c>
      <c r="I135" s="42">
        <v>2</v>
      </c>
      <c r="J135" s="43">
        <v>0.27</v>
      </c>
      <c r="K135" s="51" t="str">
        <f t="shared" si="16"/>
        <v>High Revenue</v>
      </c>
      <c r="L135" s="51" t="str">
        <f t="shared" si="17"/>
        <v>High Profit</v>
      </c>
      <c r="M135" s="53" t="str">
        <f t="shared" si="18"/>
        <v>Strategic Gold</v>
      </c>
      <c r="N135" s="56" t="str">
        <f t="shared" si="19"/>
        <v>Low Cost</v>
      </c>
      <c r="O135" s="33">
        <f t="shared" si="20"/>
        <v>0.33333333333333331</v>
      </c>
      <c r="P135" s="57">
        <v>0.27</v>
      </c>
      <c r="Q135" s="48">
        <f t="shared" si="21"/>
        <v>0.17221690260284161</v>
      </c>
      <c r="R135" s="60">
        <f t="shared" si="22"/>
        <v>0.26599840411418579</v>
      </c>
      <c r="S135" s="61" t="str">
        <f t="shared" si="23"/>
        <v>Low Risk</v>
      </c>
    </row>
    <row r="136" spans="1:19" ht="15.6" x14ac:dyDescent="0.3">
      <c r="A136" s="36" t="s">
        <v>141</v>
      </c>
      <c r="B136" s="36" t="s">
        <v>406</v>
      </c>
      <c r="C136" s="36" t="s">
        <v>260</v>
      </c>
      <c r="D136" s="37">
        <v>11015382</v>
      </c>
      <c r="E136" s="38">
        <v>8395894.0008863993</v>
      </c>
      <c r="F136" s="39">
        <v>0.76219726205467953</v>
      </c>
      <c r="G136" s="40">
        <v>0.13425498997674343</v>
      </c>
      <c r="H136" s="41">
        <v>0.81207332959321643</v>
      </c>
      <c r="I136" s="42">
        <v>6</v>
      </c>
      <c r="J136" s="43">
        <v>0.16</v>
      </c>
      <c r="K136" s="51" t="str">
        <f t="shared" si="16"/>
        <v>High Revenue</v>
      </c>
      <c r="L136" s="51" t="str">
        <f t="shared" si="17"/>
        <v>High Profit</v>
      </c>
      <c r="M136" s="53" t="str">
        <f t="shared" si="18"/>
        <v>Strategic Gold</v>
      </c>
      <c r="N136" s="56" t="str">
        <f t="shared" si="19"/>
        <v>Low Cost</v>
      </c>
      <c r="O136" s="33">
        <f t="shared" si="20"/>
        <v>1</v>
      </c>
      <c r="P136" s="57">
        <v>0.16</v>
      </c>
      <c r="Q136" s="48">
        <f t="shared" si="21"/>
        <v>0.18792667040678357</v>
      </c>
      <c r="R136" s="60">
        <f t="shared" si="22"/>
        <v>0.50437800112203512</v>
      </c>
      <c r="S136" s="61" t="str">
        <f t="shared" si="23"/>
        <v>Medium Risk</v>
      </c>
    </row>
    <row r="137" spans="1:19" ht="15.6" x14ac:dyDescent="0.3">
      <c r="A137" s="36" t="s">
        <v>142</v>
      </c>
      <c r="B137" s="36" t="s">
        <v>407</v>
      </c>
      <c r="C137" s="36" t="s">
        <v>258</v>
      </c>
      <c r="D137" s="37">
        <v>343673.27999999997</v>
      </c>
      <c r="E137" s="38">
        <v>188206.40495287665</v>
      </c>
      <c r="F137" s="39">
        <v>0.54763176512551881</v>
      </c>
      <c r="G137" s="40">
        <v>0.34628819557924317</v>
      </c>
      <c r="H137" s="41">
        <v>0.82651290058391447</v>
      </c>
      <c r="I137" s="42">
        <v>0</v>
      </c>
      <c r="J137" s="43">
        <v>0.04</v>
      </c>
      <c r="K137" s="51" t="str">
        <f t="shared" si="16"/>
        <v>Low Revenue</v>
      </c>
      <c r="L137" s="51" t="str">
        <f t="shared" si="17"/>
        <v>High Profit</v>
      </c>
      <c r="M137" s="53" t="str">
        <f t="shared" si="18"/>
        <v>Hidden Gems</v>
      </c>
      <c r="N137" s="56" t="str">
        <f t="shared" si="19"/>
        <v>Low Cost</v>
      </c>
      <c r="O137" s="33">
        <f t="shared" si="20"/>
        <v>0</v>
      </c>
      <c r="P137" s="57">
        <v>0.04</v>
      </c>
      <c r="Q137" s="48">
        <f t="shared" si="21"/>
        <v>0.17348709941608553</v>
      </c>
      <c r="R137" s="60">
        <f t="shared" si="22"/>
        <v>6.4046129824825659E-2</v>
      </c>
      <c r="S137" s="61" t="str">
        <f t="shared" si="23"/>
        <v>Low Risk</v>
      </c>
    </row>
    <row r="138" spans="1:19" ht="15.6" x14ac:dyDescent="0.3">
      <c r="A138" s="36" t="s">
        <v>143</v>
      </c>
      <c r="B138" s="36" t="s">
        <v>408</v>
      </c>
      <c r="C138" s="36" t="s">
        <v>258</v>
      </c>
      <c r="D138" s="37">
        <v>479083.56</v>
      </c>
      <c r="E138" s="38">
        <v>273675.15202109877</v>
      </c>
      <c r="F138" s="39">
        <v>0.57124722046629772</v>
      </c>
      <c r="G138" s="40">
        <v>0.32428580934816464</v>
      </c>
      <c r="H138" s="41">
        <v>0.55670266303517013</v>
      </c>
      <c r="I138" s="42">
        <v>4</v>
      </c>
      <c r="J138" s="43">
        <v>0.08</v>
      </c>
      <c r="K138" s="51" t="str">
        <f t="shared" si="16"/>
        <v>Low Revenue</v>
      </c>
      <c r="L138" s="51" t="str">
        <f t="shared" si="17"/>
        <v>High Profit</v>
      </c>
      <c r="M138" s="53" t="str">
        <f t="shared" si="18"/>
        <v>Hidden Gems</v>
      </c>
      <c r="N138" s="56" t="str">
        <f t="shared" si="19"/>
        <v>Low Cost</v>
      </c>
      <c r="O138" s="33">
        <f t="shared" si="20"/>
        <v>0.66666666666666663</v>
      </c>
      <c r="P138" s="57">
        <v>0.08</v>
      </c>
      <c r="Q138" s="48">
        <f t="shared" si="21"/>
        <v>0.44329733696482987</v>
      </c>
      <c r="R138" s="60">
        <f t="shared" si="22"/>
        <v>0.42365586775611563</v>
      </c>
      <c r="S138" s="61" t="str">
        <f t="shared" si="23"/>
        <v>Medium Risk</v>
      </c>
    </row>
    <row r="139" spans="1:19" ht="15.6" x14ac:dyDescent="0.3">
      <c r="A139" s="36" t="s">
        <v>144</v>
      </c>
      <c r="B139" s="36" t="s">
        <v>409</v>
      </c>
      <c r="C139" s="36" t="s">
        <v>260</v>
      </c>
      <c r="D139" s="37">
        <v>5053210.5599999996</v>
      </c>
      <c r="E139" s="38">
        <v>2299073.3816995639</v>
      </c>
      <c r="F139" s="39">
        <v>0.45497280479433733</v>
      </c>
      <c r="G139" s="40">
        <v>0.43443073941490379</v>
      </c>
      <c r="H139" s="41">
        <v>0.83294285633389653</v>
      </c>
      <c r="I139" s="42">
        <v>4</v>
      </c>
      <c r="J139" s="43">
        <v>0.13</v>
      </c>
      <c r="K139" s="51" t="str">
        <f t="shared" si="16"/>
        <v>High Revenue</v>
      </c>
      <c r="L139" s="51" t="str">
        <f t="shared" si="17"/>
        <v>High Profit</v>
      </c>
      <c r="M139" s="53" t="str">
        <f t="shared" si="18"/>
        <v>Strategic Gold</v>
      </c>
      <c r="N139" s="56" t="str">
        <f t="shared" si="19"/>
        <v>Medium Cost</v>
      </c>
      <c r="O139" s="33">
        <f t="shared" si="20"/>
        <v>0.66666666666666663</v>
      </c>
      <c r="P139" s="57">
        <v>0.13</v>
      </c>
      <c r="Q139" s="48">
        <f t="shared" si="21"/>
        <v>0.16705714366610347</v>
      </c>
      <c r="R139" s="60">
        <f t="shared" si="22"/>
        <v>0.35578380976649771</v>
      </c>
      <c r="S139" s="61" t="str">
        <f t="shared" si="23"/>
        <v>Medium Risk</v>
      </c>
    </row>
    <row r="140" spans="1:19" ht="15.6" x14ac:dyDescent="0.3">
      <c r="A140" s="36" t="s">
        <v>145</v>
      </c>
      <c r="B140" s="36" t="s">
        <v>410</v>
      </c>
      <c r="C140" s="36" t="s">
        <v>258</v>
      </c>
      <c r="D140" s="37">
        <v>134900.94999999998</v>
      </c>
      <c r="E140" s="38">
        <v>17693.521528151996</v>
      </c>
      <c r="F140" s="39">
        <v>0.13115935453495323</v>
      </c>
      <c r="G140" s="40">
        <v>0.69324938037871497</v>
      </c>
      <c r="H140" s="41">
        <v>0.81634303804059494</v>
      </c>
      <c r="I140" s="42">
        <v>2</v>
      </c>
      <c r="J140" s="43">
        <v>0.05</v>
      </c>
      <c r="K140" s="51" t="str">
        <f t="shared" si="16"/>
        <v>Low Revenue</v>
      </c>
      <c r="L140" s="51" t="str">
        <f t="shared" si="17"/>
        <v>Low Profit</v>
      </c>
      <c r="M140" s="53" t="str">
        <f t="shared" si="18"/>
        <v>Value Destroyers</v>
      </c>
      <c r="N140" s="56" t="str">
        <f t="shared" si="19"/>
        <v>Medium Cost</v>
      </c>
      <c r="O140" s="33">
        <f t="shared" si="20"/>
        <v>0.33333333333333331</v>
      </c>
      <c r="P140" s="57">
        <v>0.05</v>
      </c>
      <c r="Q140" s="48">
        <f t="shared" si="21"/>
        <v>0.18365696195940506</v>
      </c>
      <c r="R140" s="60">
        <f t="shared" si="22"/>
        <v>0.20343042192115485</v>
      </c>
      <c r="S140" s="61" t="str">
        <f t="shared" si="23"/>
        <v>Low Risk</v>
      </c>
    </row>
    <row r="141" spans="1:19" ht="15.6" x14ac:dyDescent="0.3">
      <c r="A141" s="36" t="s">
        <v>146</v>
      </c>
      <c r="B141" s="36" t="s">
        <v>411</v>
      </c>
      <c r="C141" s="36" t="s">
        <v>260</v>
      </c>
      <c r="D141" s="37">
        <v>3600803.32</v>
      </c>
      <c r="E141" s="38">
        <v>769626.71685161756</v>
      </c>
      <c r="F141" s="39">
        <v>0.21373750478868631</v>
      </c>
      <c r="G141" s="40">
        <v>0.57585761168427274</v>
      </c>
      <c r="H141" s="41">
        <v>0.85308190144219875</v>
      </c>
      <c r="I141" s="42">
        <v>1</v>
      </c>
      <c r="J141" s="43">
        <v>0.32</v>
      </c>
      <c r="K141" s="51" t="str">
        <f t="shared" si="16"/>
        <v>High Revenue</v>
      </c>
      <c r="L141" s="51" t="str">
        <f t="shared" si="17"/>
        <v>Low Profit</v>
      </c>
      <c r="M141" s="53" t="str">
        <f t="shared" si="18"/>
        <v>Margin Diluters</v>
      </c>
      <c r="N141" s="56" t="str">
        <f t="shared" si="19"/>
        <v>Medium Cost</v>
      </c>
      <c r="O141" s="33">
        <f t="shared" si="20"/>
        <v>0.16666666666666666</v>
      </c>
      <c r="P141" s="57">
        <v>0.32</v>
      </c>
      <c r="Q141" s="48">
        <f t="shared" si="21"/>
        <v>0.14691809855780125</v>
      </c>
      <c r="R141" s="60">
        <f t="shared" si="22"/>
        <v>0.20674209623400705</v>
      </c>
      <c r="S141" s="61" t="str">
        <f t="shared" si="23"/>
        <v>Low Risk</v>
      </c>
    </row>
    <row r="142" spans="1:19" ht="15.6" x14ac:dyDescent="0.3">
      <c r="A142" s="36" t="s">
        <v>147</v>
      </c>
      <c r="B142" s="36" t="s">
        <v>412</v>
      </c>
      <c r="C142" s="36" t="s">
        <v>259</v>
      </c>
      <c r="D142" s="37">
        <v>1602180.7</v>
      </c>
      <c r="E142" s="38">
        <v>861932.67334789794</v>
      </c>
      <c r="F142" s="39">
        <v>0.53797469495662875</v>
      </c>
      <c r="G142" s="40">
        <v>0.34167806415343788</v>
      </c>
      <c r="H142" s="41">
        <v>0.82933224310193321</v>
      </c>
      <c r="I142" s="42">
        <v>1</v>
      </c>
      <c r="J142" s="43">
        <v>0.05</v>
      </c>
      <c r="K142" s="51" t="str">
        <f t="shared" si="16"/>
        <v>High Revenue</v>
      </c>
      <c r="L142" s="51" t="str">
        <f t="shared" si="17"/>
        <v>High Profit</v>
      </c>
      <c r="M142" s="53" t="str">
        <f t="shared" si="18"/>
        <v>Strategic Gold</v>
      </c>
      <c r="N142" s="56" t="str">
        <f t="shared" si="19"/>
        <v>Low Cost</v>
      </c>
      <c r="O142" s="33">
        <f t="shared" si="20"/>
        <v>0.16666666666666666</v>
      </c>
      <c r="P142" s="57">
        <v>0.05</v>
      </c>
      <c r="Q142" s="48">
        <f t="shared" si="21"/>
        <v>0.17066775689806679</v>
      </c>
      <c r="R142" s="60">
        <f t="shared" si="22"/>
        <v>0.13286699373608671</v>
      </c>
      <c r="S142" s="61" t="str">
        <f t="shared" si="23"/>
        <v>Low Risk</v>
      </c>
    </row>
    <row r="143" spans="1:19" ht="15.6" x14ac:dyDescent="0.3">
      <c r="A143" s="36" t="s">
        <v>148</v>
      </c>
      <c r="B143" s="36" t="s">
        <v>413</v>
      </c>
      <c r="C143" s="36" t="s">
        <v>258</v>
      </c>
      <c r="D143" s="37">
        <v>284119.64999999997</v>
      </c>
      <c r="E143" s="38">
        <v>-6726.6063693963806</v>
      </c>
      <c r="F143" s="39">
        <v>-2.3675259241648303E-2</v>
      </c>
      <c r="G143" s="40">
        <v>0.84175804102250595</v>
      </c>
      <c r="H143" s="41">
        <v>0.70579547479230131</v>
      </c>
      <c r="I143" s="42">
        <v>1</v>
      </c>
      <c r="J143" s="43">
        <v>7.0000000000000007E-2</v>
      </c>
      <c r="K143" s="51" t="str">
        <f t="shared" si="16"/>
        <v>Low Revenue</v>
      </c>
      <c r="L143" s="51" t="str">
        <f t="shared" si="17"/>
        <v>Low Profit</v>
      </c>
      <c r="M143" s="53" t="str">
        <f t="shared" si="18"/>
        <v>Value Destroyers</v>
      </c>
      <c r="N143" s="56" t="str">
        <f t="shared" si="19"/>
        <v>High Cost</v>
      </c>
      <c r="O143" s="33">
        <f t="shared" si="20"/>
        <v>0.16666666666666666</v>
      </c>
      <c r="P143" s="57">
        <v>7.0000000000000007E-2</v>
      </c>
      <c r="Q143" s="48">
        <f t="shared" si="21"/>
        <v>0.29420452520769869</v>
      </c>
      <c r="R143" s="60">
        <f t="shared" si="22"/>
        <v>0.17592802422897627</v>
      </c>
      <c r="S143" s="61" t="str">
        <f t="shared" si="23"/>
        <v>Low Risk</v>
      </c>
    </row>
    <row r="144" spans="1:19" ht="15.6" x14ac:dyDescent="0.3">
      <c r="A144" s="36" t="s">
        <v>149</v>
      </c>
      <c r="B144" s="36" t="s">
        <v>414</v>
      </c>
      <c r="C144" s="36" t="s">
        <v>258</v>
      </c>
      <c r="D144" s="37">
        <v>430357.44</v>
      </c>
      <c r="E144" s="38">
        <v>325567.91529370891</v>
      </c>
      <c r="F144" s="39">
        <v>0.75650583685438066</v>
      </c>
      <c r="G144" s="40">
        <v>0.15566130331103373</v>
      </c>
      <c r="H144" s="41">
        <v>0.71922491308319625</v>
      </c>
      <c r="I144" s="42">
        <v>2</v>
      </c>
      <c r="J144" s="43">
        <v>0.04</v>
      </c>
      <c r="K144" s="51" t="str">
        <f t="shared" si="16"/>
        <v>Low Revenue</v>
      </c>
      <c r="L144" s="51" t="str">
        <f t="shared" si="17"/>
        <v>High Profit</v>
      </c>
      <c r="M144" s="53" t="str">
        <f t="shared" si="18"/>
        <v>Hidden Gems</v>
      </c>
      <c r="N144" s="56" t="str">
        <f t="shared" si="19"/>
        <v>Low Cost</v>
      </c>
      <c r="O144" s="33">
        <f t="shared" si="20"/>
        <v>0.33333333333333331</v>
      </c>
      <c r="P144" s="57">
        <v>0.04</v>
      </c>
      <c r="Q144" s="48">
        <f t="shared" si="21"/>
        <v>0.28077508691680375</v>
      </c>
      <c r="R144" s="60">
        <f t="shared" si="22"/>
        <v>0.22956585940837448</v>
      </c>
      <c r="S144" s="61" t="str">
        <f t="shared" si="23"/>
        <v>Low Risk</v>
      </c>
    </row>
    <row r="145" spans="1:19" ht="15.6" x14ac:dyDescent="0.3">
      <c r="A145" s="36" t="s">
        <v>150</v>
      </c>
      <c r="B145" s="36" t="s">
        <v>415</v>
      </c>
      <c r="C145" s="36" t="s">
        <v>259</v>
      </c>
      <c r="D145" s="37">
        <v>1451396.66</v>
      </c>
      <c r="E145" s="38">
        <v>670905.23799363186</v>
      </c>
      <c r="F145" s="39">
        <v>0.46224802390935082</v>
      </c>
      <c r="G145" s="40">
        <v>0.39244957336473407</v>
      </c>
      <c r="H145" s="41">
        <v>0.72493183067385247</v>
      </c>
      <c r="I145" s="42">
        <v>0</v>
      </c>
      <c r="J145" s="43">
        <v>0.06</v>
      </c>
      <c r="K145" s="51" t="str">
        <f t="shared" si="16"/>
        <v>High Revenue</v>
      </c>
      <c r="L145" s="51" t="str">
        <f t="shared" si="17"/>
        <v>High Profit</v>
      </c>
      <c r="M145" s="53" t="str">
        <f t="shared" si="18"/>
        <v>Strategic Gold</v>
      </c>
      <c r="N145" s="56" t="str">
        <f t="shared" si="19"/>
        <v>Low Cost</v>
      </c>
      <c r="O145" s="33">
        <f t="shared" si="20"/>
        <v>0</v>
      </c>
      <c r="P145" s="57">
        <v>0.06</v>
      </c>
      <c r="Q145" s="48">
        <f t="shared" si="21"/>
        <v>0.27506816932614753</v>
      </c>
      <c r="R145" s="60">
        <f t="shared" si="22"/>
        <v>0.10052045079784426</v>
      </c>
      <c r="S145" s="61" t="str">
        <f t="shared" si="23"/>
        <v>Low Risk</v>
      </c>
    </row>
    <row r="146" spans="1:19" ht="15.6" x14ac:dyDescent="0.3">
      <c r="A146" s="36" t="s">
        <v>151</v>
      </c>
      <c r="B146" s="36" t="s">
        <v>416</v>
      </c>
      <c r="C146" s="36" t="s">
        <v>258</v>
      </c>
      <c r="D146" s="37">
        <v>329262.71999999997</v>
      </c>
      <c r="E146" s="38">
        <v>131382.76579747166</v>
      </c>
      <c r="F146" s="39">
        <v>0.39902107896536743</v>
      </c>
      <c r="G146" s="40">
        <v>0.47803772015246676</v>
      </c>
      <c r="H146" s="41">
        <v>0.54260856984338912</v>
      </c>
      <c r="I146" s="42">
        <v>3</v>
      </c>
      <c r="J146" s="43">
        <v>0.04</v>
      </c>
      <c r="K146" s="51" t="str">
        <f t="shared" si="16"/>
        <v>Low Revenue</v>
      </c>
      <c r="L146" s="51" t="str">
        <f t="shared" si="17"/>
        <v>High Profit</v>
      </c>
      <c r="M146" s="53" t="str">
        <f t="shared" si="18"/>
        <v>Hidden Gems</v>
      </c>
      <c r="N146" s="56" t="str">
        <f t="shared" si="19"/>
        <v>Medium Cost</v>
      </c>
      <c r="O146" s="33">
        <f t="shared" si="20"/>
        <v>0.5</v>
      </c>
      <c r="P146" s="57">
        <v>0.04</v>
      </c>
      <c r="Q146" s="48">
        <f t="shared" si="21"/>
        <v>0.45739143015661088</v>
      </c>
      <c r="R146" s="60">
        <f t="shared" si="22"/>
        <v>0.34921742904698327</v>
      </c>
      <c r="S146" s="61" t="str">
        <f t="shared" si="23"/>
        <v>Low Risk</v>
      </c>
    </row>
    <row r="147" spans="1:19" ht="15.6" x14ac:dyDescent="0.3">
      <c r="A147" s="36" t="s">
        <v>152</v>
      </c>
      <c r="B147" s="36" t="s">
        <v>417</v>
      </c>
      <c r="C147" s="36" t="s">
        <v>259</v>
      </c>
      <c r="D147" s="37">
        <v>2309429.6</v>
      </c>
      <c r="E147" s="38">
        <v>1742840.4377202601</v>
      </c>
      <c r="F147" s="39">
        <v>0.75466272612088281</v>
      </c>
      <c r="G147" s="40">
        <v>0.16211362320808567</v>
      </c>
      <c r="H147" s="41">
        <v>0.83995801819274973</v>
      </c>
      <c r="I147" s="42">
        <v>1</v>
      </c>
      <c r="J147" s="43">
        <v>0.06</v>
      </c>
      <c r="K147" s="51" t="str">
        <f t="shared" si="16"/>
        <v>High Revenue</v>
      </c>
      <c r="L147" s="51" t="str">
        <f t="shared" si="17"/>
        <v>High Profit</v>
      </c>
      <c r="M147" s="53" t="str">
        <f t="shared" si="18"/>
        <v>Strategic Gold</v>
      </c>
      <c r="N147" s="56" t="str">
        <f t="shared" si="19"/>
        <v>Low Cost</v>
      </c>
      <c r="O147" s="33">
        <f t="shared" si="20"/>
        <v>0.16666666666666666</v>
      </c>
      <c r="P147" s="57">
        <v>0.06</v>
      </c>
      <c r="Q147" s="48">
        <f t="shared" si="21"/>
        <v>0.16004198180725027</v>
      </c>
      <c r="R147" s="60">
        <f t="shared" si="22"/>
        <v>0.13267926120884174</v>
      </c>
      <c r="S147" s="61" t="str">
        <f t="shared" si="23"/>
        <v>Low Risk</v>
      </c>
    </row>
    <row r="148" spans="1:19" ht="15.6" x14ac:dyDescent="0.3">
      <c r="A148" s="36" t="s">
        <v>153</v>
      </c>
      <c r="B148" s="36" t="s">
        <v>418</v>
      </c>
      <c r="C148" s="36" t="s">
        <v>260</v>
      </c>
      <c r="D148" s="37">
        <v>10487924.6</v>
      </c>
      <c r="E148" s="38">
        <v>8869317.3882177267</v>
      </c>
      <c r="F148" s="39">
        <v>0.84566944619507722</v>
      </c>
      <c r="G148" s="40">
        <v>7.5653671270672559E-2</v>
      </c>
      <c r="H148" s="41">
        <v>0.76596885257820602</v>
      </c>
      <c r="I148" s="42">
        <v>6</v>
      </c>
      <c r="J148" s="43">
        <v>0.27</v>
      </c>
      <c r="K148" s="51" t="str">
        <f t="shared" si="16"/>
        <v>High Revenue</v>
      </c>
      <c r="L148" s="51" t="str">
        <f t="shared" si="17"/>
        <v>High Profit</v>
      </c>
      <c r="M148" s="53" t="str">
        <f t="shared" si="18"/>
        <v>Strategic Gold</v>
      </c>
      <c r="N148" s="56" t="str">
        <f t="shared" si="19"/>
        <v>Low Cost</v>
      </c>
      <c r="O148" s="33">
        <f t="shared" si="20"/>
        <v>1</v>
      </c>
      <c r="P148" s="57">
        <v>0.27</v>
      </c>
      <c r="Q148" s="48">
        <f t="shared" si="21"/>
        <v>0.23403114742179398</v>
      </c>
      <c r="R148" s="60">
        <f t="shared" si="22"/>
        <v>0.55120934422653822</v>
      </c>
      <c r="S148" s="61" t="str">
        <f t="shared" si="23"/>
        <v>Medium Risk</v>
      </c>
    </row>
    <row r="149" spans="1:19" ht="15.6" x14ac:dyDescent="0.3">
      <c r="A149" s="36" t="s">
        <v>154</v>
      </c>
      <c r="B149" s="36" t="s">
        <v>419</v>
      </c>
      <c r="C149" s="36" t="s">
        <v>259</v>
      </c>
      <c r="D149" s="37">
        <v>733259</v>
      </c>
      <c r="E149" s="38">
        <v>102831.43814402669</v>
      </c>
      <c r="F149" s="39">
        <v>0.14023890350343696</v>
      </c>
      <c r="G149" s="40">
        <v>0.70181204731206848</v>
      </c>
      <c r="H149" s="41">
        <v>0.71178619072614902</v>
      </c>
      <c r="I149" s="42">
        <v>2</v>
      </c>
      <c r="J149" s="43">
        <v>0</v>
      </c>
      <c r="K149" s="51" t="str">
        <f t="shared" si="16"/>
        <v>Low Revenue</v>
      </c>
      <c r="L149" s="51" t="str">
        <f t="shared" si="17"/>
        <v>Low Profit</v>
      </c>
      <c r="M149" s="53" t="str">
        <f t="shared" si="18"/>
        <v>Value Destroyers</v>
      </c>
      <c r="N149" s="56" t="str">
        <f t="shared" si="19"/>
        <v>High Cost</v>
      </c>
      <c r="O149" s="33">
        <f t="shared" si="20"/>
        <v>0.33333333333333331</v>
      </c>
      <c r="P149" s="57">
        <v>0</v>
      </c>
      <c r="Q149" s="48">
        <f t="shared" si="21"/>
        <v>0.28821380927385098</v>
      </c>
      <c r="R149" s="60">
        <f t="shared" si="22"/>
        <v>0.21979747611548861</v>
      </c>
      <c r="S149" s="61" t="str">
        <f t="shared" si="23"/>
        <v>Low Risk</v>
      </c>
    </row>
    <row r="150" spans="1:19" ht="15.6" x14ac:dyDescent="0.3">
      <c r="A150" s="36" t="s">
        <v>155</v>
      </c>
      <c r="B150" s="36" t="s">
        <v>420</v>
      </c>
      <c r="C150" s="36" t="s">
        <v>259</v>
      </c>
      <c r="D150" s="37">
        <v>615288.92999999993</v>
      </c>
      <c r="E150" s="38">
        <v>154906.78019649006</v>
      </c>
      <c r="F150" s="39">
        <v>0.25176266408123105</v>
      </c>
      <c r="G150" s="40">
        <v>0.54790519309359265</v>
      </c>
      <c r="H150" s="41">
        <v>0.84723777437594172</v>
      </c>
      <c r="I150" s="42">
        <v>3</v>
      </c>
      <c r="J150" s="43">
        <v>7.0000000000000007E-2</v>
      </c>
      <c r="K150" s="51" t="str">
        <f t="shared" si="16"/>
        <v>Low Revenue</v>
      </c>
      <c r="L150" s="51" t="str">
        <f t="shared" si="17"/>
        <v>High Profit</v>
      </c>
      <c r="M150" s="53" t="str">
        <f t="shared" si="18"/>
        <v>Hidden Gems</v>
      </c>
      <c r="N150" s="56" t="str">
        <f t="shared" si="19"/>
        <v>Medium Cost</v>
      </c>
      <c r="O150" s="33">
        <f t="shared" si="20"/>
        <v>0.5</v>
      </c>
      <c r="P150" s="57">
        <v>7.0000000000000007E-2</v>
      </c>
      <c r="Q150" s="48">
        <f t="shared" si="21"/>
        <v>0.15276222562405828</v>
      </c>
      <c r="R150" s="60">
        <f t="shared" si="22"/>
        <v>0.26682866768721747</v>
      </c>
      <c r="S150" s="61" t="str">
        <f t="shared" si="23"/>
        <v>Low Risk</v>
      </c>
    </row>
    <row r="151" spans="1:19" ht="15.6" x14ac:dyDescent="0.3">
      <c r="A151" s="36" t="s">
        <v>156</v>
      </c>
      <c r="B151" s="36" t="s">
        <v>421</v>
      </c>
      <c r="C151" s="36" t="s">
        <v>259</v>
      </c>
      <c r="D151" s="37">
        <v>1755675.2000000002</v>
      </c>
      <c r="E151" s="38">
        <v>1270030.1627100003</v>
      </c>
      <c r="F151" s="39">
        <v>0.72338560270715235</v>
      </c>
      <c r="G151" s="40">
        <v>0.16528114083971795</v>
      </c>
      <c r="H151" s="41">
        <v>0.7168241521692843</v>
      </c>
      <c r="I151" s="42">
        <v>0</v>
      </c>
      <c r="J151" s="43">
        <v>0.2</v>
      </c>
      <c r="K151" s="51" t="str">
        <f t="shared" si="16"/>
        <v>High Revenue</v>
      </c>
      <c r="L151" s="51" t="str">
        <f t="shared" si="17"/>
        <v>High Profit</v>
      </c>
      <c r="M151" s="53" t="str">
        <f t="shared" si="18"/>
        <v>Strategic Gold</v>
      </c>
      <c r="N151" s="56" t="str">
        <f t="shared" si="19"/>
        <v>Low Cost</v>
      </c>
      <c r="O151" s="33">
        <f t="shared" si="20"/>
        <v>0</v>
      </c>
      <c r="P151" s="57">
        <v>0.2</v>
      </c>
      <c r="Q151" s="48">
        <f t="shared" si="21"/>
        <v>0.2831758478307157</v>
      </c>
      <c r="R151" s="60">
        <f t="shared" si="22"/>
        <v>0.1449527543492147</v>
      </c>
      <c r="S151" s="61" t="str">
        <f t="shared" si="23"/>
        <v>Low Risk</v>
      </c>
    </row>
    <row r="152" spans="1:19" ht="15.6" x14ac:dyDescent="0.3">
      <c r="A152" s="36" t="s">
        <v>157</v>
      </c>
      <c r="B152" s="36" t="s">
        <v>422</v>
      </c>
      <c r="C152" s="36" t="s">
        <v>260</v>
      </c>
      <c r="D152" s="37">
        <v>8348296.9199999999</v>
      </c>
      <c r="E152" s="38">
        <v>4842242.5354584455</v>
      </c>
      <c r="F152" s="39">
        <v>0.58002758908321694</v>
      </c>
      <c r="G152" s="40">
        <v>0.28455863785927732</v>
      </c>
      <c r="H152" s="41">
        <v>0.75978425291286467</v>
      </c>
      <c r="I152" s="42">
        <v>4</v>
      </c>
      <c r="J152" s="43">
        <v>0.14000000000000001</v>
      </c>
      <c r="K152" s="51" t="str">
        <f t="shared" si="16"/>
        <v>High Revenue</v>
      </c>
      <c r="L152" s="51" t="str">
        <f t="shared" si="17"/>
        <v>High Profit</v>
      </c>
      <c r="M152" s="53" t="str">
        <f t="shared" si="18"/>
        <v>Strategic Gold</v>
      </c>
      <c r="N152" s="56" t="str">
        <f t="shared" si="19"/>
        <v>Low Cost</v>
      </c>
      <c r="O152" s="33">
        <f t="shared" si="20"/>
        <v>0.66666666666666663</v>
      </c>
      <c r="P152" s="57">
        <v>0.14000000000000001</v>
      </c>
      <c r="Q152" s="48">
        <f t="shared" si="21"/>
        <v>0.24021574708713533</v>
      </c>
      <c r="R152" s="60">
        <f t="shared" si="22"/>
        <v>0.38073139079280727</v>
      </c>
      <c r="S152" s="61" t="str">
        <f t="shared" si="23"/>
        <v>Medium Risk</v>
      </c>
    </row>
    <row r="153" spans="1:19" ht="15.6" x14ac:dyDescent="0.3">
      <c r="A153" s="36" t="s">
        <v>158</v>
      </c>
      <c r="B153" s="36" t="s">
        <v>423</v>
      </c>
      <c r="C153" s="36" t="s">
        <v>260</v>
      </c>
      <c r="D153" s="37">
        <v>5097116.6399999997</v>
      </c>
      <c r="E153" s="38">
        <v>1481352.7330405647</v>
      </c>
      <c r="F153" s="39">
        <v>0.29062562967767691</v>
      </c>
      <c r="G153" s="40">
        <v>0.52857530841201239</v>
      </c>
      <c r="H153" s="41">
        <v>0.78353599514403216</v>
      </c>
      <c r="I153" s="42">
        <v>3</v>
      </c>
      <c r="J153" s="43">
        <v>0.34</v>
      </c>
      <c r="K153" s="51" t="str">
        <f t="shared" si="16"/>
        <v>High Revenue</v>
      </c>
      <c r="L153" s="51" t="str">
        <f t="shared" si="17"/>
        <v>High Profit</v>
      </c>
      <c r="M153" s="53" t="str">
        <f t="shared" si="18"/>
        <v>Strategic Gold</v>
      </c>
      <c r="N153" s="56" t="str">
        <f t="shared" si="19"/>
        <v>Medium Cost</v>
      </c>
      <c r="O153" s="33">
        <f t="shared" si="20"/>
        <v>0.5</v>
      </c>
      <c r="P153" s="57">
        <v>0.34</v>
      </c>
      <c r="Q153" s="48">
        <f t="shared" si="21"/>
        <v>0.21646400485596784</v>
      </c>
      <c r="R153" s="60">
        <f t="shared" si="22"/>
        <v>0.36693920145679038</v>
      </c>
      <c r="S153" s="61" t="str">
        <f t="shared" si="23"/>
        <v>Medium Risk</v>
      </c>
    </row>
    <row r="154" spans="1:19" ht="15.6" x14ac:dyDescent="0.3">
      <c r="A154" s="36" t="s">
        <v>159</v>
      </c>
      <c r="B154" s="36" t="s">
        <v>424</v>
      </c>
      <c r="C154" s="36" t="s">
        <v>260</v>
      </c>
      <c r="D154" s="37">
        <v>7167353.25</v>
      </c>
      <c r="E154" s="38">
        <v>4554070.3468563296</v>
      </c>
      <c r="F154" s="39">
        <v>0.6353908043888209</v>
      </c>
      <c r="G154" s="40">
        <v>0.2570377007718993</v>
      </c>
      <c r="H154" s="41">
        <v>0.80578043945320099</v>
      </c>
      <c r="I154" s="42">
        <v>4</v>
      </c>
      <c r="J154" s="43">
        <v>0.25</v>
      </c>
      <c r="K154" s="51" t="str">
        <f t="shared" si="16"/>
        <v>High Revenue</v>
      </c>
      <c r="L154" s="51" t="str">
        <f t="shared" si="17"/>
        <v>High Profit</v>
      </c>
      <c r="M154" s="53" t="str">
        <f t="shared" si="18"/>
        <v>Strategic Gold</v>
      </c>
      <c r="N154" s="56" t="str">
        <f t="shared" si="19"/>
        <v>Low Cost</v>
      </c>
      <c r="O154" s="33">
        <f t="shared" si="20"/>
        <v>0.66666666666666663</v>
      </c>
      <c r="P154" s="57">
        <v>0.25</v>
      </c>
      <c r="Q154" s="48">
        <f t="shared" si="21"/>
        <v>0.19421956054679901</v>
      </c>
      <c r="R154" s="60">
        <f t="shared" si="22"/>
        <v>0.39993253483070634</v>
      </c>
      <c r="S154" s="61" t="str">
        <f t="shared" si="23"/>
        <v>Medium Risk</v>
      </c>
    </row>
    <row r="155" spans="1:19" ht="15.6" x14ac:dyDescent="0.3">
      <c r="A155" s="36" t="s">
        <v>160</v>
      </c>
      <c r="B155" s="36" t="s">
        <v>425</v>
      </c>
      <c r="C155" s="36" t="s">
        <v>259</v>
      </c>
      <c r="D155" s="37">
        <v>2421186</v>
      </c>
      <c r="E155" s="38">
        <v>1815564.1925832871</v>
      </c>
      <c r="F155" s="39">
        <v>0.74986564129450906</v>
      </c>
      <c r="G155" s="40">
        <v>0.15276397600184372</v>
      </c>
      <c r="H155" s="41">
        <v>0.70924011343081317</v>
      </c>
      <c r="I155" s="42">
        <v>1</v>
      </c>
      <c r="J155" s="43">
        <v>0</v>
      </c>
      <c r="K155" s="51" t="str">
        <f t="shared" si="16"/>
        <v>High Revenue</v>
      </c>
      <c r="L155" s="51" t="str">
        <f t="shared" si="17"/>
        <v>High Profit</v>
      </c>
      <c r="M155" s="53" t="str">
        <f t="shared" si="18"/>
        <v>Strategic Gold</v>
      </c>
      <c r="N155" s="56" t="str">
        <f t="shared" si="19"/>
        <v>Low Cost</v>
      </c>
      <c r="O155" s="33">
        <f t="shared" si="20"/>
        <v>0.16666666666666666</v>
      </c>
      <c r="P155" s="57">
        <v>0</v>
      </c>
      <c r="Q155" s="48">
        <f t="shared" si="21"/>
        <v>0.29075988656918683</v>
      </c>
      <c r="R155" s="60">
        <f t="shared" si="22"/>
        <v>0.1538946326374227</v>
      </c>
      <c r="S155" s="61" t="str">
        <f t="shared" si="23"/>
        <v>Low Risk</v>
      </c>
    </row>
    <row r="156" spans="1:19" ht="15.6" x14ac:dyDescent="0.3">
      <c r="A156" s="36" t="s">
        <v>161</v>
      </c>
      <c r="B156" s="36" t="s">
        <v>426</v>
      </c>
      <c r="C156" s="36" t="s">
        <v>258</v>
      </c>
      <c r="D156" s="37">
        <v>564139.19999999995</v>
      </c>
      <c r="E156" s="38">
        <v>315058.40818202245</v>
      </c>
      <c r="F156" s="39">
        <v>0.55847636218511754</v>
      </c>
      <c r="G156" s="40">
        <v>0.34083786412998779</v>
      </c>
      <c r="H156" s="41">
        <v>0.77723332713192328</v>
      </c>
      <c r="I156" s="42">
        <v>1</v>
      </c>
      <c r="J156" s="43">
        <v>0.04</v>
      </c>
      <c r="K156" s="51" t="str">
        <f t="shared" si="16"/>
        <v>Low Revenue</v>
      </c>
      <c r="L156" s="51" t="str">
        <f t="shared" si="17"/>
        <v>High Profit</v>
      </c>
      <c r="M156" s="53" t="str">
        <f t="shared" si="18"/>
        <v>Hidden Gems</v>
      </c>
      <c r="N156" s="56" t="str">
        <f t="shared" si="19"/>
        <v>Low Cost</v>
      </c>
      <c r="O156" s="33">
        <f t="shared" si="20"/>
        <v>0.16666666666666666</v>
      </c>
      <c r="P156" s="57">
        <v>0.04</v>
      </c>
      <c r="Q156" s="48">
        <f t="shared" si="21"/>
        <v>0.22276667286807672</v>
      </c>
      <c r="R156" s="60">
        <f t="shared" si="22"/>
        <v>0.14549666852708967</v>
      </c>
      <c r="S156" s="61" t="str">
        <f t="shared" si="23"/>
        <v>Low Risk</v>
      </c>
    </row>
    <row r="157" spans="1:19" ht="15.6" x14ac:dyDescent="0.3">
      <c r="A157" s="36" t="s">
        <v>162</v>
      </c>
      <c r="B157" s="36" t="s">
        <v>427</v>
      </c>
      <c r="C157" s="36" t="s">
        <v>260</v>
      </c>
      <c r="D157" s="37">
        <v>4346702.1199999992</v>
      </c>
      <c r="E157" s="38">
        <v>2093568.0446412703</v>
      </c>
      <c r="F157" s="39">
        <v>0.48164516151414366</v>
      </c>
      <c r="G157" s="40">
        <v>0.37044176378941751</v>
      </c>
      <c r="H157" s="41">
        <v>0.79132400184014973</v>
      </c>
      <c r="I157" s="42">
        <v>2</v>
      </c>
      <c r="J157" s="43">
        <v>0.32</v>
      </c>
      <c r="K157" s="51" t="str">
        <f t="shared" si="16"/>
        <v>High Revenue</v>
      </c>
      <c r="L157" s="51" t="str">
        <f t="shared" si="17"/>
        <v>High Profit</v>
      </c>
      <c r="M157" s="53" t="str">
        <f t="shared" si="18"/>
        <v>Strategic Gold</v>
      </c>
      <c r="N157" s="56" t="str">
        <f t="shared" si="19"/>
        <v>Low Cost</v>
      </c>
      <c r="O157" s="33">
        <f t="shared" si="20"/>
        <v>0.33333333333333331</v>
      </c>
      <c r="P157" s="57">
        <v>0.32</v>
      </c>
      <c r="Q157" s="48">
        <f t="shared" si="21"/>
        <v>0.20867599815985027</v>
      </c>
      <c r="R157" s="60">
        <f t="shared" si="22"/>
        <v>0.29193613278128838</v>
      </c>
      <c r="S157" s="61" t="str">
        <f t="shared" si="23"/>
        <v>Low Risk</v>
      </c>
    </row>
    <row r="158" spans="1:19" ht="15.6" x14ac:dyDescent="0.3">
      <c r="A158" s="36" t="s">
        <v>163</v>
      </c>
      <c r="B158" s="36" t="s">
        <v>428</v>
      </c>
      <c r="C158" s="36" t="s">
        <v>258</v>
      </c>
      <c r="D158" s="37">
        <v>146792</v>
      </c>
      <c r="E158" s="38">
        <v>14935.576715756804</v>
      </c>
      <c r="F158" s="39">
        <v>0.1017465305722165</v>
      </c>
      <c r="G158" s="40">
        <v>0.73491743419259903</v>
      </c>
      <c r="H158" s="41">
        <v>0.65541698779149027</v>
      </c>
      <c r="I158" s="42">
        <v>1</v>
      </c>
      <c r="J158" s="43">
        <v>0</v>
      </c>
      <c r="K158" s="51" t="str">
        <f t="shared" si="16"/>
        <v>Low Revenue</v>
      </c>
      <c r="L158" s="51" t="str">
        <f t="shared" si="17"/>
        <v>Low Profit</v>
      </c>
      <c r="M158" s="53" t="str">
        <f t="shared" si="18"/>
        <v>Value Destroyers</v>
      </c>
      <c r="N158" s="56" t="str">
        <f t="shared" si="19"/>
        <v>High Cost</v>
      </c>
      <c r="O158" s="33">
        <f t="shared" si="20"/>
        <v>0.16666666666666666</v>
      </c>
      <c r="P158" s="57">
        <v>0</v>
      </c>
      <c r="Q158" s="48">
        <f t="shared" si="21"/>
        <v>0.34458301220850973</v>
      </c>
      <c r="R158" s="60">
        <f t="shared" si="22"/>
        <v>0.17004157032921957</v>
      </c>
      <c r="S158" s="61" t="str">
        <f t="shared" si="23"/>
        <v>Low Risk</v>
      </c>
    </row>
    <row r="159" spans="1:19" ht="15.6" x14ac:dyDescent="0.3">
      <c r="A159" s="36" t="s">
        <v>164</v>
      </c>
      <c r="B159" s="36" t="s">
        <v>429</v>
      </c>
      <c r="C159" s="36" t="s">
        <v>258</v>
      </c>
      <c r="D159" s="37">
        <v>147497.35</v>
      </c>
      <c r="E159" s="38">
        <v>-36124.682488196551</v>
      </c>
      <c r="F159" s="39">
        <v>-0.24491750182763655</v>
      </c>
      <c r="G159" s="40">
        <v>1.0366287936698524</v>
      </c>
      <c r="H159" s="41">
        <v>0.76555060905139416</v>
      </c>
      <c r="I159" s="42">
        <v>2</v>
      </c>
      <c r="J159" s="43">
        <v>0.09</v>
      </c>
      <c r="K159" s="51" t="str">
        <f t="shared" si="16"/>
        <v>Low Revenue</v>
      </c>
      <c r="L159" s="51" t="str">
        <f t="shared" si="17"/>
        <v>Low Profit</v>
      </c>
      <c r="M159" s="53" t="str">
        <f t="shared" si="18"/>
        <v>Value Destroyers</v>
      </c>
      <c r="N159" s="56" t="str">
        <f t="shared" si="19"/>
        <v>High Cost</v>
      </c>
      <c r="O159" s="33">
        <f t="shared" si="20"/>
        <v>0.33333333333333331</v>
      </c>
      <c r="P159" s="57">
        <v>0.09</v>
      </c>
      <c r="Q159" s="48">
        <f t="shared" si="21"/>
        <v>0.23444939094860584</v>
      </c>
      <c r="R159" s="60">
        <f t="shared" si="22"/>
        <v>0.23066815061791507</v>
      </c>
      <c r="S159" s="61" t="str">
        <f t="shared" si="23"/>
        <v>Low Risk</v>
      </c>
    </row>
    <row r="160" spans="1:19" ht="15.6" x14ac:dyDescent="0.3">
      <c r="A160" s="36" t="s">
        <v>165</v>
      </c>
      <c r="B160" s="36" t="s">
        <v>430</v>
      </c>
      <c r="C160" s="36" t="s">
        <v>259</v>
      </c>
      <c r="D160" s="37">
        <v>1681984.85</v>
      </c>
      <c r="E160" s="38">
        <v>1201588.1412261708</v>
      </c>
      <c r="F160" s="39">
        <v>0.71438701794856874</v>
      </c>
      <c r="G160" s="40">
        <v>0.1871657761959033</v>
      </c>
      <c r="H160" s="41">
        <v>0.77621681258590913</v>
      </c>
      <c r="I160" s="42">
        <v>0</v>
      </c>
      <c r="J160" s="43">
        <v>0.09</v>
      </c>
      <c r="K160" s="51" t="str">
        <f t="shared" si="16"/>
        <v>High Revenue</v>
      </c>
      <c r="L160" s="51" t="str">
        <f t="shared" si="17"/>
        <v>High Profit</v>
      </c>
      <c r="M160" s="53" t="str">
        <f t="shared" si="18"/>
        <v>Strategic Gold</v>
      </c>
      <c r="N160" s="56" t="str">
        <f t="shared" si="19"/>
        <v>Low Cost</v>
      </c>
      <c r="O160" s="33">
        <f t="shared" si="20"/>
        <v>0</v>
      </c>
      <c r="P160" s="57">
        <v>0.09</v>
      </c>
      <c r="Q160" s="48">
        <f t="shared" si="21"/>
        <v>0.22378318741409087</v>
      </c>
      <c r="R160" s="60">
        <f t="shared" si="22"/>
        <v>9.4134956224227254E-2</v>
      </c>
      <c r="S160" s="61" t="str">
        <f t="shared" si="23"/>
        <v>Low Risk</v>
      </c>
    </row>
    <row r="161" spans="1:19" ht="15.6" x14ac:dyDescent="0.3">
      <c r="A161" s="36" t="s">
        <v>166</v>
      </c>
      <c r="B161" s="36" t="s">
        <v>431</v>
      </c>
      <c r="C161" s="36" t="s">
        <v>260</v>
      </c>
      <c r="D161" s="37">
        <v>11301943.279999999</v>
      </c>
      <c r="E161" s="38">
        <v>7298819.8759334814</v>
      </c>
      <c r="F161" s="39">
        <v>0.64580220366611873</v>
      </c>
      <c r="G161" s="40">
        <v>0.24323339198354216</v>
      </c>
      <c r="H161" s="41">
        <v>0.88611490716946184</v>
      </c>
      <c r="I161" s="42">
        <v>5</v>
      </c>
      <c r="J161" s="43">
        <v>0.24</v>
      </c>
      <c r="K161" s="51" t="str">
        <f t="shared" si="16"/>
        <v>High Revenue</v>
      </c>
      <c r="L161" s="51" t="str">
        <f t="shared" si="17"/>
        <v>High Profit</v>
      </c>
      <c r="M161" s="53" t="str">
        <f t="shared" si="18"/>
        <v>Strategic Gold</v>
      </c>
      <c r="N161" s="56" t="str">
        <f t="shared" si="19"/>
        <v>Low Cost</v>
      </c>
      <c r="O161" s="33">
        <f t="shared" si="20"/>
        <v>0.83333333333333337</v>
      </c>
      <c r="P161" s="57">
        <v>0.24</v>
      </c>
      <c r="Q161" s="48">
        <f t="shared" si="21"/>
        <v>0.11388509283053816</v>
      </c>
      <c r="R161" s="60">
        <f t="shared" si="22"/>
        <v>0.43949886118249482</v>
      </c>
      <c r="S161" s="61" t="str">
        <f t="shared" si="23"/>
        <v>Medium Risk</v>
      </c>
    </row>
    <row r="162" spans="1:19" ht="15.6" x14ac:dyDescent="0.3">
      <c r="A162" s="36" t="s">
        <v>167</v>
      </c>
      <c r="B162" s="36" t="s">
        <v>432</v>
      </c>
      <c r="C162" s="36" t="s">
        <v>260</v>
      </c>
      <c r="D162" s="37">
        <v>6895753.2299999995</v>
      </c>
      <c r="E162" s="38">
        <v>3471979.1703512212</v>
      </c>
      <c r="F162" s="39">
        <v>0.50349527521465864</v>
      </c>
      <c r="G162" s="40">
        <v>0.34013688160937861</v>
      </c>
      <c r="H162" s="41">
        <v>0.76736585495922516</v>
      </c>
      <c r="I162" s="42">
        <v>4</v>
      </c>
      <c r="J162" s="43">
        <v>0.33</v>
      </c>
      <c r="K162" s="51" t="str">
        <f t="shared" si="16"/>
        <v>High Revenue</v>
      </c>
      <c r="L162" s="51" t="str">
        <f t="shared" si="17"/>
        <v>High Profit</v>
      </c>
      <c r="M162" s="53" t="str">
        <f t="shared" si="18"/>
        <v>Strategic Gold</v>
      </c>
      <c r="N162" s="56" t="str">
        <f t="shared" si="19"/>
        <v>Low Cost</v>
      </c>
      <c r="O162" s="33">
        <f t="shared" si="20"/>
        <v>0.66666666666666663</v>
      </c>
      <c r="P162" s="57">
        <v>0.33</v>
      </c>
      <c r="Q162" s="48">
        <f t="shared" si="21"/>
        <v>0.23263414504077484</v>
      </c>
      <c r="R162" s="60">
        <f t="shared" si="22"/>
        <v>0.43545691017889915</v>
      </c>
      <c r="S162" s="61" t="str">
        <f t="shared" si="23"/>
        <v>Medium Risk</v>
      </c>
    </row>
    <row r="163" spans="1:19" ht="15.6" x14ac:dyDescent="0.3">
      <c r="A163" s="36" t="s">
        <v>168</v>
      </c>
      <c r="B163" s="36" t="s">
        <v>433</v>
      </c>
      <c r="C163" s="36" t="s">
        <v>258</v>
      </c>
      <c r="D163" s="37">
        <v>155306.12</v>
      </c>
      <c r="E163" s="38">
        <v>18940.223017073637</v>
      </c>
      <c r="F163" s="39">
        <v>0.12195413173076268</v>
      </c>
      <c r="G163" s="40">
        <v>0.68670828940932915</v>
      </c>
      <c r="H163" s="41">
        <v>0.66463561048975994</v>
      </c>
      <c r="I163" s="42">
        <v>1</v>
      </c>
      <c r="J163" s="43">
        <v>0.08</v>
      </c>
      <c r="K163" s="51" t="str">
        <f t="shared" si="16"/>
        <v>Low Revenue</v>
      </c>
      <c r="L163" s="51" t="str">
        <f t="shared" si="17"/>
        <v>Low Profit</v>
      </c>
      <c r="M163" s="53" t="str">
        <f t="shared" si="18"/>
        <v>Value Destroyers</v>
      </c>
      <c r="N163" s="56" t="str">
        <f t="shared" si="19"/>
        <v>Medium Cost</v>
      </c>
      <c r="O163" s="33">
        <f t="shared" si="20"/>
        <v>0.16666666666666666</v>
      </c>
      <c r="P163" s="57">
        <v>0.08</v>
      </c>
      <c r="Q163" s="48">
        <f t="shared" si="21"/>
        <v>0.33536438951024006</v>
      </c>
      <c r="R163" s="60">
        <f t="shared" si="22"/>
        <v>0.19127598351973868</v>
      </c>
      <c r="S163" s="61" t="str">
        <f t="shared" si="23"/>
        <v>Low Risk</v>
      </c>
    </row>
    <row r="164" spans="1:19" ht="15.6" x14ac:dyDescent="0.3">
      <c r="A164" s="36" t="s">
        <v>169</v>
      </c>
      <c r="B164" s="36" t="s">
        <v>434</v>
      </c>
      <c r="C164" s="36" t="s">
        <v>258</v>
      </c>
      <c r="D164" s="37">
        <v>221577.1</v>
      </c>
      <c r="E164" s="38">
        <v>98522.46214474969</v>
      </c>
      <c r="F164" s="39">
        <v>0.44464189731136333</v>
      </c>
      <c r="G164" s="40">
        <v>0.43298698286059345</v>
      </c>
      <c r="H164" s="41">
        <v>0.54340574213214055</v>
      </c>
      <c r="I164" s="42">
        <v>4</v>
      </c>
      <c r="J164" s="43">
        <v>0.03</v>
      </c>
      <c r="K164" s="51" t="str">
        <f t="shared" si="16"/>
        <v>Low Revenue</v>
      </c>
      <c r="L164" s="51" t="str">
        <f t="shared" si="17"/>
        <v>High Profit</v>
      </c>
      <c r="M164" s="53" t="str">
        <f t="shared" si="18"/>
        <v>Hidden Gems</v>
      </c>
      <c r="N164" s="56" t="str">
        <f t="shared" si="19"/>
        <v>Medium Cost</v>
      </c>
      <c r="O164" s="33">
        <f t="shared" si="20"/>
        <v>0.66666666666666663</v>
      </c>
      <c r="P164" s="57">
        <v>0.03</v>
      </c>
      <c r="Q164" s="48">
        <f t="shared" si="21"/>
        <v>0.45659425786785945</v>
      </c>
      <c r="R164" s="60">
        <f t="shared" si="22"/>
        <v>0.41264494402702451</v>
      </c>
      <c r="S164" s="61" t="str">
        <f t="shared" si="23"/>
        <v>Medium Risk</v>
      </c>
    </row>
    <row r="165" spans="1:19" ht="15.6" x14ac:dyDescent="0.3">
      <c r="A165" s="36" t="s">
        <v>170</v>
      </c>
      <c r="B165" s="36" t="s">
        <v>435</v>
      </c>
      <c r="C165" s="36" t="s">
        <v>260</v>
      </c>
      <c r="D165" s="37">
        <v>11042139.199999999</v>
      </c>
      <c r="E165" s="38">
        <v>8956998.5617402401</v>
      </c>
      <c r="F165" s="39">
        <v>0.81116515554705571</v>
      </c>
      <c r="G165" s="40">
        <v>0.11036720131186176</v>
      </c>
      <c r="H165" s="41">
        <v>0.96294126334624375</v>
      </c>
      <c r="I165" s="42">
        <v>0</v>
      </c>
      <c r="J165" s="43">
        <v>0.15</v>
      </c>
      <c r="K165" s="51" t="str">
        <f t="shared" si="16"/>
        <v>High Revenue</v>
      </c>
      <c r="L165" s="51" t="str">
        <f t="shared" si="17"/>
        <v>High Profit</v>
      </c>
      <c r="M165" s="53" t="str">
        <f t="shared" si="18"/>
        <v>Strategic Gold</v>
      </c>
      <c r="N165" s="56" t="str">
        <f t="shared" si="19"/>
        <v>Low Cost</v>
      </c>
      <c r="O165" s="33">
        <f t="shared" si="20"/>
        <v>0</v>
      </c>
      <c r="P165" s="57">
        <v>0.15</v>
      </c>
      <c r="Q165" s="48">
        <f t="shared" si="21"/>
        <v>3.7058736653756252E-2</v>
      </c>
      <c r="R165" s="60">
        <f t="shared" si="22"/>
        <v>5.6117620996126875E-2</v>
      </c>
      <c r="S165" s="61" t="str">
        <f t="shared" si="23"/>
        <v>Low Risk</v>
      </c>
    </row>
    <row r="166" spans="1:19" ht="15.6" x14ac:dyDescent="0.3">
      <c r="A166" s="36" t="s">
        <v>171</v>
      </c>
      <c r="B166" s="36" t="s">
        <v>436</v>
      </c>
      <c r="C166" s="36" t="s">
        <v>258</v>
      </c>
      <c r="D166" s="37">
        <v>481213.25999999995</v>
      </c>
      <c r="E166" s="38">
        <v>329509.08291112084</v>
      </c>
      <c r="F166" s="39">
        <v>0.68474647375909981</v>
      </c>
      <c r="G166" s="40">
        <v>0.20633263513977151</v>
      </c>
      <c r="H166" s="41">
        <v>0.73679271328494511</v>
      </c>
      <c r="I166" s="42">
        <v>3</v>
      </c>
      <c r="J166" s="43">
        <v>0.06</v>
      </c>
      <c r="K166" s="51" t="str">
        <f t="shared" si="16"/>
        <v>Low Revenue</v>
      </c>
      <c r="L166" s="51" t="str">
        <f t="shared" si="17"/>
        <v>High Profit</v>
      </c>
      <c r="M166" s="53" t="str">
        <f t="shared" si="18"/>
        <v>Hidden Gems</v>
      </c>
      <c r="N166" s="56" t="str">
        <f t="shared" si="19"/>
        <v>Low Cost</v>
      </c>
      <c r="O166" s="33">
        <f t="shared" si="20"/>
        <v>0.5</v>
      </c>
      <c r="P166" s="57">
        <v>0.06</v>
      </c>
      <c r="Q166" s="48">
        <f t="shared" si="21"/>
        <v>0.26320728671505489</v>
      </c>
      <c r="R166" s="60">
        <f t="shared" si="22"/>
        <v>0.29696218601451646</v>
      </c>
      <c r="S166" s="61" t="str">
        <f t="shared" si="23"/>
        <v>Low Risk</v>
      </c>
    </row>
    <row r="167" spans="1:19" ht="15.6" x14ac:dyDescent="0.3">
      <c r="A167" s="36" t="s">
        <v>172</v>
      </c>
      <c r="B167" s="36" t="s">
        <v>437</v>
      </c>
      <c r="C167" s="36" t="s">
        <v>260</v>
      </c>
      <c r="D167" s="37">
        <v>2053677.3599999999</v>
      </c>
      <c r="E167" s="38">
        <v>-469961.90181325085</v>
      </c>
      <c r="F167" s="39">
        <v>-0.22883920861515017</v>
      </c>
      <c r="G167" s="40">
        <v>0.91778291795552547</v>
      </c>
      <c r="H167" s="41">
        <v>0.86532235219168974</v>
      </c>
      <c r="I167" s="42">
        <v>4</v>
      </c>
      <c r="J167" s="43">
        <v>0.31</v>
      </c>
      <c r="K167" s="51" t="str">
        <f t="shared" si="16"/>
        <v>High Revenue</v>
      </c>
      <c r="L167" s="51" t="str">
        <f t="shared" si="17"/>
        <v>Low Profit</v>
      </c>
      <c r="M167" s="53" t="str">
        <f t="shared" si="18"/>
        <v>Margin Diluters</v>
      </c>
      <c r="N167" s="56" t="str">
        <f t="shared" si="19"/>
        <v>High Cost</v>
      </c>
      <c r="O167" s="33">
        <f t="shared" si="20"/>
        <v>0.66666666666666663</v>
      </c>
      <c r="P167" s="57">
        <v>0.31</v>
      </c>
      <c r="Q167" s="48">
        <f t="shared" si="21"/>
        <v>0.13467764780831026</v>
      </c>
      <c r="R167" s="60">
        <f t="shared" si="22"/>
        <v>0.40006996100915976</v>
      </c>
      <c r="S167" s="61" t="str">
        <f t="shared" si="23"/>
        <v>Medium Risk</v>
      </c>
    </row>
    <row r="168" spans="1:19" ht="15.6" x14ac:dyDescent="0.3">
      <c r="A168" s="36" t="s">
        <v>173</v>
      </c>
      <c r="B168" s="36" t="s">
        <v>438</v>
      </c>
      <c r="C168" s="36" t="s">
        <v>259</v>
      </c>
      <c r="D168" s="37">
        <v>1605462.9300000002</v>
      </c>
      <c r="E168" s="38">
        <v>1069524.2230238256</v>
      </c>
      <c r="F168" s="39">
        <v>0.66617808673030243</v>
      </c>
      <c r="G168" s="40">
        <v>0.21164612003841157</v>
      </c>
      <c r="H168" s="41">
        <v>0.81252128031065507</v>
      </c>
      <c r="I168" s="42">
        <v>1</v>
      </c>
      <c r="J168" s="43">
        <v>0.19</v>
      </c>
      <c r="K168" s="51" t="str">
        <f t="shared" si="16"/>
        <v>High Revenue</v>
      </c>
      <c r="L168" s="51" t="str">
        <f t="shared" si="17"/>
        <v>High Profit</v>
      </c>
      <c r="M168" s="53" t="str">
        <f t="shared" si="18"/>
        <v>Strategic Gold</v>
      </c>
      <c r="N168" s="56" t="str">
        <f t="shared" si="19"/>
        <v>Low Cost</v>
      </c>
      <c r="O168" s="33">
        <f t="shared" si="20"/>
        <v>0.16666666666666666</v>
      </c>
      <c r="P168" s="57">
        <v>0.19</v>
      </c>
      <c r="Q168" s="48">
        <f t="shared" si="21"/>
        <v>0.18747871968934493</v>
      </c>
      <c r="R168" s="60">
        <f t="shared" si="22"/>
        <v>0.17991028257347014</v>
      </c>
      <c r="S168" s="61" t="str">
        <f t="shared" si="23"/>
        <v>Low Risk</v>
      </c>
    </row>
    <row r="169" spans="1:19" ht="15.6" x14ac:dyDescent="0.3">
      <c r="A169" s="36" t="s">
        <v>174</v>
      </c>
      <c r="B169" s="36" t="s">
        <v>439</v>
      </c>
      <c r="C169" s="36" t="s">
        <v>259</v>
      </c>
      <c r="D169" s="37">
        <v>1587542.4</v>
      </c>
      <c r="E169" s="38">
        <v>904844.09731333924</v>
      </c>
      <c r="F169" s="39">
        <v>0.56996531073018231</v>
      </c>
      <c r="G169" s="40">
        <v>0.3008927509589665</v>
      </c>
      <c r="H169" s="41">
        <v>0.77651024416077208</v>
      </c>
      <c r="I169" s="42">
        <v>3</v>
      </c>
      <c r="J169" s="43">
        <v>0.04</v>
      </c>
      <c r="K169" s="51" t="str">
        <f t="shared" si="16"/>
        <v>High Revenue</v>
      </c>
      <c r="L169" s="51" t="str">
        <f t="shared" si="17"/>
        <v>High Profit</v>
      </c>
      <c r="M169" s="53" t="str">
        <f t="shared" si="18"/>
        <v>Strategic Gold</v>
      </c>
      <c r="N169" s="56" t="str">
        <f t="shared" si="19"/>
        <v>Low Cost</v>
      </c>
      <c r="O169" s="33">
        <f t="shared" si="20"/>
        <v>0.5</v>
      </c>
      <c r="P169" s="57">
        <v>0.04</v>
      </c>
      <c r="Q169" s="48">
        <f t="shared" si="21"/>
        <v>0.22348975583922792</v>
      </c>
      <c r="R169" s="60">
        <f t="shared" si="22"/>
        <v>0.2790469267517684</v>
      </c>
      <c r="S169" s="61" t="str">
        <f t="shared" si="23"/>
        <v>Low Risk</v>
      </c>
    </row>
    <row r="170" spans="1:19" ht="15.6" x14ac:dyDescent="0.3">
      <c r="A170" s="36" t="s">
        <v>175</v>
      </c>
      <c r="B170" s="36" t="s">
        <v>440</v>
      </c>
      <c r="C170" s="36" t="s">
        <v>260</v>
      </c>
      <c r="D170" s="37">
        <v>8046308.8000000007</v>
      </c>
      <c r="E170" s="38">
        <v>4736350.0191938402</v>
      </c>
      <c r="F170" s="39">
        <v>0.58863637189686779</v>
      </c>
      <c r="G170" s="40">
        <v>0.28464729069309391</v>
      </c>
      <c r="H170" s="41">
        <v>0.77854084908101762</v>
      </c>
      <c r="I170" s="42">
        <v>2</v>
      </c>
      <c r="J170" s="43">
        <v>0.2</v>
      </c>
      <c r="K170" s="51" t="str">
        <f t="shared" si="16"/>
        <v>High Revenue</v>
      </c>
      <c r="L170" s="51" t="str">
        <f t="shared" si="17"/>
        <v>High Profit</v>
      </c>
      <c r="M170" s="53" t="str">
        <f t="shared" si="18"/>
        <v>Strategic Gold</v>
      </c>
      <c r="N170" s="56" t="str">
        <f t="shared" si="19"/>
        <v>Low Cost</v>
      </c>
      <c r="O170" s="33">
        <f t="shared" si="20"/>
        <v>0.33333333333333331</v>
      </c>
      <c r="P170" s="57">
        <v>0.2</v>
      </c>
      <c r="Q170" s="48">
        <f t="shared" si="21"/>
        <v>0.22145915091898238</v>
      </c>
      <c r="R170" s="60">
        <f t="shared" si="22"/>
        <v>0.25977107860902804</v>
      </c>
      <c r="S170" s="61" t="str">
        <f t="shared" si="23"/>
        <v>Low Risk</v>
      </c>
    </row>
    <row r="171" spans="1:19" ht="15.6" x14ac:dyDescent="0.3">
      <c r="A171" s="36" t="s">
        <v>176</v>
      </c>
      <c r="B171" s="36" t="s">
        <v>441</v>
      </c>
      <c r="C171" s="36" t="s">
        <v>260</v>
      </c>
      <c r="D171" s="37">
        <v>7018905.8900000006</v>
      </c>
      <c r="E171" s="38">
        <v>4237844.5081308782</v>
      </c>
      <c r="F171" s="39">
        <v>0.60377565599912575</v>
      </c>
      <c r="G171" s="40">
        <v>0.30029039184054368</v>
      </c>
      <c r="H171" s="41">
        <v>0.923825919351417</v>
      </c>
      <c r="I171" s="42">
        <v>4</v>
      </c>
      <c r="J171" s="43">
        <v>0.21</v>
      </c>
      <c r="K171" s="51" t="str">
        <f t="shared" si="16"/>
        <v>High Revenue</v>
      </c>
      <c r="L171" s="51" t="str">
        <f t="shared" si="17"/>
        <v>High Profit</v>
      </c>
      <c r="M171" s="53" t="str">
        <f t="shared" si="18"/>
        <v>Strategic Gold</v>
      </c>
      <c r="N171" s="56" t="str">
        <f t="shared" si="19"/>
        <v>Low Cost</v>
      </c>
      <c r="O171" s="33">
        <f t="shared" si="20"/>
        <v>0.66666666666666663</v>
      </c>
      <c r="P171" s="57">
        <v>0.21</v>
      </c>
      <c r="Q171" s="48">
        <f t="shared" si="21"/>
        <v>7.6174080648582998E-2</v>
      </c>
      <c r="R171" s="60">
        <f t="shared" si="22"/>
        <v>0.35251889086124155</v>
      </c>
      <c r="S171" s="61" t="str">
        <f t="shared" si="23"/>
        <v>Medium Risk</v>
      </c>
    </row>
    <row r="172" spans="1:19" ht="15.6" x14ac:dyDescent="0.3">
      <c r="A172" s="36" t="s">
        <v>177</v>
      </c>
      <c r="B172" s="36" t="s">
        <v>442</v>
      </c>
      <c r="C172" s="36" t="s">
        <v>259</v>
      </c>
      <c r="D172" s="37">
        <v>702222.77</v>
      </c>
      <c r="E172" s="38">
        <v>97768.361716110434</v>
      </c>
      <c r="F172" s="39">
        <v>0.13922698877467393</v>
      </c>
      <c r="G172" s="40">
        <v>0.69009439839155318</v>
      </c>
      <c r="H172" s="41">
        <v>0.72491173956014709</v>
      </c>
      <c r="I172" s="42">
        <v>0</v>
      </c>
      <c r="J172" s="43">
        <v>0.03</v>
      </c>
      <c r="K172" s="51" t="str">
        <f t="shared" si="16"/>
        <v>High Revenue</v>
      </c>
      <c r="L172" s="51" t="str">
        <f t="shared" si="17"/>
        <v>Low Profit</v>
      </c>
      <c r="M172" s="53" t="str">
        <f t="shared" si="18"/>
        <v>Margin Diluters</v>
      </c>
      <c r="N172" s="56" t="str">
        <f t="shared" si="19"/>
        <v>Medium Cost</v>
      </c>
      <c r="O172" s="33">
        <f t="shared" si="20"/>
        <v>0</v>
      </c>
      <c r="P172" s="57">
        <v>0.03</v>
      </c>
      <c r="Q172" s="48">
        <f t="shared" si="21"/>
        <v>0.27508826043985291</v>
      </c>
      <c r="R172" s="60">
        <f t="shared" si="22"/>
        <v>9.1526478131955857E-2</v>
      </c>
      <c r="S172" s="61" t="str">
        <f t="shared" si="23"/>
        <v>Low Risk</v>
      </c>
    </row>
    <row r="173" spans="1:19" ht="15.6" x14ac:dyDescent="0.3">
      <c r="A173" s="36" t="s">
        <v>178</v>
      </c>
      <c r="B173" s="36" t="s">
        <v>443</v>
      </c>
      <c r="C173" s="36" t="s">
        <v>258</v>
      </c>
      <c r="D173" s="37">
        <v>511928.73</v>
      </c>
      <c r="E173" s="38">
        <v>247485.68844026525</v>
      </c>
      <c r="F173" s="39">
        <v>0.48343777939609928</v>
      </c>
      <c r="G173" s="40">
        <v>0.40726372204193345</v>
      </c>
      <c r="H173" s="41">
        <v>0.83334829046368086</v>
      </c>
      <c r="I173" s="42">
        <v>3</v>
      </c>
      <c r="J173" s="43">
        <v>7.0000000000000007E-2</v>
      </c>
      <c r="K173" s="51" t="str">
        <f t="shared" si="16"/>
        <v>Low Revenue</v>
      </c>
      <c r="L173" s="51" t="str">
        <f t="shared" si="17"/>
        <v>High Profit</v>
      </c>
      <c r="M173" s="53" t="str">
        <f t="shared" si="18"/>
        <v>Hidden Gems</v>
      </c>
      <c r="N173" s="56" t="str">
        <f t="shared" si="19"/>
        <v>Medium Cost</v>
      </c>
      <c r="O173" s="33">
        <f t="shared" si="20"/>
        <v>0.5</v>
      </c>
      <c r="P173" s="57">
        <v>7.0000000000000007E-2</v>
      </c>
      <c r="Q173" s="48">
        <f t="shared" si="21"/>
        <v>0.16665170953631914</v>
      </c>
      <c r="R173" s="60">
        <f t="shared" si="22"/>
        <v>0.27099551286089574</v>
      </c>
      <c r="S173" s="61" t="str">
        <f t="shared" si="23"/>
        <v>Low Risk</v>
      </c>
    </row>
    <row r="174" spans="1:19" ht="15.6" x14ac:dyDescent="0.3">
      <c r="A174" s="36" t="s">
        <v>179</v>
      </c>
      <c r="B174" s="36" t="s">
        <v>444</v>
      </c>
      <c r="C174" s="36" t="s">
        <v>260</v>
      </c>
      <c r="D174" s="37">
        <v>6002391.5999999996</v>
      </c>
      <c r="E174" s="38">
        <v>4200605.930406278</v>
      </c>
      <c r="F174" s="39">
        <v>0.69982203933616693</v>
      </c>
      <c r="G174" s="40">
        <v>0.19810436893187711</v>
      </c>
      <c r="H174" s="41">
        <v>0.78857439542437635</v>
      </c>
      <c r="I174" s="42">
        <v>3</v>
      </c>
      <c r="J174" s="43">
        <v>0.26</v>
      </c>
      <c r="K174" s="51" t="str">
        <f t="shared" si="16"/>
        <v>High Revenue</v>
      </c>
      <c r="L174" s="51" t="str">
        <f t="shared" si="17"/>
        <v>High Profit</v>
      </c>
      <c r="M174" s="53" t="str">
        <f t="shared" si="18"/>
        <v>Strategic Gold</v>
      </c>
      <c r="N174" s="56" t="str">
        <f t="shared" si="19"/>
        <v>Low Cost</v>
      </c>
      <c r="O174" s="33">
        <f t="shared" si="20"/>
        <v>0.5</v>
      </c>
      <c r="P174" s="57">
        <v>0.26</v>
      </c>
      <c r="Q174" s="48">
        <f t="shared" si="21"/>
        <v>0.21142560457562365</v>
      </c>
      <c r="R174" s="60">
        <f t="shared" si="22"/>
        <v>0.34142768137268709</v>
      </c>
      <c r="S174" s="61" t="str">
        <f t="shared" si="23"/>
        <v>Low Risk</v>
      </c>
    </row>
    <row r="175" spans="1:19" ht="15.6" x14ac:dyDescent="0.3">
      <c r="A175" s="36" t="s">
        <v>180</v>
      </c>
      <c r="B175" s="36" t="s">
        <v>445</v>
      </c>
      <c r="C175" s="36" t="s">
        <v>260</v>
      </c>
      <c r="D175" s="37">
        <v>11693789.49</v>
      </c>
      <c r="E175" s="38">
        <v>9255162.4197361264</v>
      </c>
      <c r="F175" s="39">
        <v>0.79145963997818869</v>
      </c>
      <c r="G175" s="40">
        <v>0.12245132351873729</v>
      </c>
      <c r="H175" s="41">
        <v>0.83291148408584703</v>
      </c>
      <c r="I175" s="42">
        <v>6</v>
      </c>
      <c r="J175" s="43">
        <v>0.17</v>
      </c>
      <c r="K175" s="51" t="str">
        <f t="shared" si="16"/>
        <v>High Revenue</v>
      </c>
      <c r="L175" s="51" t="str">
        <f t="shared" si="17"/>
        <v>High Profit</v>
      </c>
      <c r="M175" s="53" t="str">
        <f t="shared" si="18"/>
        <v>Strategic Gold</v>
      </c>
      <c r="N175" s="56" t="str">
        <f t="shared" si="19"/>
        <v>Low Cost</v>
      </c>
      <c r="O175" s="33">
        <f t="shared" si="20"/>
        <v>1</v>
      </c>
      <c r="P175" s="57">
        <v>0.17</v>
      </c>
      <c r="Q175" s="48">
        <f t="shared" si="21"/>
        <v>0.16708851591415297</v>
      </c>
      <c r="R175" s="60">
        <f t="shared" si="22"/>
        <v>0.50112655477424595</v>
      </c>
      <c r="S175" s="61" t="str">
        <f t="shared" si="23"/>
        <v>Medium Risk</v>
      </c>
    </row>
    <row r="176" spans="1:19" ht="15.6" x14ac:dyDescent="0.3">
      <c r="A176" s="36" t="s">
        <v>181</v>
      </c>
      <c r="B176" s="36" t="s">
        <v>446</v>
      </c>
      <c r="C176" s="36" t="s">
        <v>260</v>
      </c>
      <c r="D176" s="37">
        <v>6558165</v>
      </c>
      <c r="E176" s="38">
        <v>3615287.1042688964</v>
      </c>
      <c r="F176" s="39">
        <v>0.5512650420153955</v>
      </c>
      <c r="G176" s="40">
        <v>0.32118130605131162</v>
      </c>
      <c r="H176" s="41">
        <v>0.89607683820742201</v>
      </c>
      <c r="I176" s="42">
        <v>0</v>
      </c>
      <c r="J176" s="43">
        <v>0.1</v>
      </c>
      <c r="K176" s="51" t="str">
        <f t="shared" si="16"/>
        <v>High Revenue</v>
      </c>
      <c r="L176" s="51" t="str">
        <f t="shared" si="17"/>
        <v>High Profit</v>
      </c>
      <c r="M176" s="53" t="str">
        <f t="shared" si="18"/>
        <v>Strategic Gold</v>
      </c>
      <c r="N176" s="56" t="str">
        <f t="shared" si="19"/>
        <v>Low Cost</v>
      </c>
      <c r="O176" s="33">
        <f t="shared" si="20"/>
        <v>0</v>
      </c>
      <c r="P176" s="57">
        <v>0.1</v>
      </c>
      <c r="Q176" s="48">
        <f t="shared" si="21"/>
        <v>0.10392316179257799</v>
      </c>
      <c r="R176" s="60">
        <f t="shared" si="22"/>
        <v>6.117694853777339E-2</v>
      </c>
      <c r="S176" s="61" t="str">
        <f t="shared" si="23"/>
        <v>Low Risk</v>
      </c>
    </row>
    <row r="177" spans="1:19" ht="15.6" x14ac:dyDescent="0.3">
      <c r="A177" s="36" t="s">
        <v>182</v>
      </c>
      <c r="B177" s="36" t="s">
        <v>447</v>
      </c>
      <c r="C177" s="36" t="s">
        <v>260</v>
      </c>
      <c r="D177" s="37">
        <v>2398857.3000000003</v>
      </c>
      <c r="E177" s="38">
        <v>742962.62484114617</v>
      </c>
      <c r="F177" s="39">
        <v>0.30971522351127184</v>
      </c>
      <c r="G177" s="40">
        <v>0.49920851898943713</v>
      </c>
      <c r="H177" s="41">
        <v>0.78503334736859154</v>
      </c>
      <c r="I177" s="42">
        <v>6</v>
      </c>
      <c r="J177" s="43">
        <v>0.1</v>
      </c>
      <c r="K177" s="51" t="str">
        <f t="shared" si="16"/>
        <v>High Revenue</v>
      </c>
      <c r="L177" s="51" t="str">
        <f t="shared" si="17"/>
        <v>High Profit</v>
      </c>
      <c r="M177" s="53" t="str">
        <f t="shared" si="18"/>
        <v>Strategic Gold</v>
      </c>
      <c r="N177" s="56" t="str">
        <f t="shared" si="19"/>
        <v>Medium Cost</v>
      </c>
      <c r="O177" s="33">
        <f t="shared" si="20"/>
        <v>1</v>
      </c>
      <c r="P177" s="57">
        <v>0.1</v>
      </c>
      <c r="Q177" s="48">
        <f t="shared" si="21"/>
        <v>0.21496665263140846</v>
      </c>
      <c r="R177" s="60">
        <f t="shared" si="22"/>
        <v>0.4944899957894226</v>
      </c>
      <c r="S177" s="61" t="str">
        <f t="shared" si="23"/>
        <v>Medium Risk</v>
      </c>
    </row>
    <row r="178" spans="1:19" ht="15.6" x14ac:dyDescent="0.3">
      <c r="A178" s="36" t="s">
        <v>183</v>
      </c>
      <c r="B178" s="36" t="s">
        <v>448</v>
      </c>
      <c r="C178" s="36" t="s">
        <v>260</v>
      </c>
      <c r="D178" s="37">
        <v>9386715.1899999995</v>
      </c>
      <c r="E178" s="38">
        <v>6659379.0755808707</v>
      </c>
      <c r="F178" s="39">
        <v>0.70944722842718644</v>
      </c>
      <c r="G178" s="40">
        <v>0.1867085518762821</v>
      </c>
      <c r="H178" s="41">
        <v>0.89041728416298738</v>
      </c>
      <c r="I178" s="42">
        <v>1</v>
      </c>
      <c r="J178" s="43">
        <v>0.11</v>
      </c>
      <c r="K178" s="51" t="str">
        <f t="shared" si="16"/>
        <v>High Revenue</v>
      </c>
      <c r="L178" s="51" t="str">
        <f t="shared" si="17"/>
        <v>High Profit</v>
      </c>
      <c r="M178" s="53" t="str">
        <f t="shared" si="18"/>
        <v>Strategic Gold</v>
      </c>
      <c r="N178" s="56" t="str">
        <f t="shared" si="19"/>
        <v>Low Cost</v>
      </c>
      <c r="O178" s="33">
        <f t="shared" si="20"/>
        <v>0.16666666666666666</v>
      </c>
      <c r="P178" s="57">
        <v>0.11</v>
      </c>
      <c r="Q178" s="48">
        <f t="shared" si="21"/>
        <v>0.10958271583701262</v>
      </c>
      <c r="R178" s="60">
        <f t="shared" si="22"/>
        <v>0.13254148141777045</v>
      </c>
      <c r="S178" s="61" t="str">
        <f t="shared" si="23"/>
        <v>Low Risk</v>
      </c>
    </row>
    <row r="179" spans="1:19" ht="15.6" x14ac:dyDescent="0.3">
      <c r="A179" s="36" t="s">
        <v>184</v>
      </c>
      <c r="B179" s="36" t="s">
        <v>449</v>
      </c>
      <c r="C179" s="36" t="s">
        <v>259</v>
      </c>
      <c r="D179" s="37">
        <v>533344.4</v>
      </c>
      <c r="E179" s="38">
        <v>87104.753357911773</v>
      </c>
      <c r="F179" s="39">
        <v>0.16331802369709286</v>
      </c>
      <c r="G179" s="40">
        <v>0.67734844501976577</v>
      </c>
      <c r="H179" s="41">
        <v>0.80003832470229774</v>
      </c>
      <c r="I179" s="42">
        <v>1</v>
      </c>
      <c r="J179" s="43">
        <v>0.18</v>
      </c>
      <c r="K179" s="51" t="str">
        <f t="shared" si="16"/>
        <v>Low Revenue</v>
      </c>
      <c r="L179" s="51" t="str">
        <f t="shared" si="17"/>
        <v>Low Profit</v>
      </c>
      <c r="M179" s="53" t="str">
        <f t="shared" si="18"/>
        <v>Value Destroyers</v>
      </c>
      <c r="N179" s="56" t="str">
        <f t="shared" si="19"/>
        <v>Medium Cost</v>
      </c>
      <c r="O179" s="33">
        <f t="shared" si="20"/>
        <v>0.16666666666666666</v>
      </c>
      <c r="P179" s="57">
        <v>0.18</v>
      </c>
      <c r="Q179" s="48">
        <f t="shared" si="21"/>
        <v>0.19996167529770226</v>
      </c>
      <c r="R179" s="60">
        <f t="shared" si="22"/>
        <v>0.18065516925597735</v>
      </c>
      <c r="S179" s="61" t="str">
        <f t="shared" si="23"/>
        <v>Low Risk</v>
      </c>
    </row>
    <row r="180" spans="1:19" ht="15.6" x14ac:dyDescent="0.3">
      <c r="A180" s="36" t="s">
        <v>185</v>
      </c>
      <c r="B180" s="36" t="s">
        <v>450</v>
      </c>
      <c r="C180" s="36" t="s">
        <v>258</v>
      </c>
      <c r="D180" s="37">
        <v>256990.36</v>
      </c>
      <c r="E180" s="38">
        <v>32746.118424604952</v>
      </c>
      <c r="F180" s="39">
        <v>0.12742158275744256</v>
      </c>
      <c r="G180" s="40">
        <v>0.69247733650398413</v>
      </c>
      <c r="H180" s="41">
        <v>0.72101581279241755</v>
      </c>
      <c r="I180" s="42">
        <v>3</v>
      </c>
      <c r="J180" s="43">
        <v>0.06</v>
      </c>
      <c r="K180" s="51" t="str">
        <f t="shared" si="16"/>
        <v>Low Revenue</v>
      </c>
      <c r="L180" s="51" t="str">
        <f t="shared" si="17"/>
        <v>Low Profit</v>
      </c>
      <c r="M180" s="53" t="str">
        <f t="shared" si="18"/>
        <v>Value Destroyers</v>
      </c>
      <c r="N180" s="56" t="str">
        <f t="shared" si="19"/>
        <v>Medium Cost</v>
      </c>
      <c r="O180" s="33">
        <f t="shared" si="20"/>
        <v>0.5</v>
      </c>
      <c r="P180" s="57">
        <v>0.06</v>
      </c>
      <c r="Q180" s="48">
        <f t="shared" si="21"/>
        <v>0.27898418720758245</v>
      </c>
      <c r="R180" s="60">
        <f t="shared" si="22"/>
        <v>0.30169525616227472</v>
      </c>
      <c r="S180" s="61" t="str">
        <f t="shared" si="23"/>
        <v>Low Risk</v>
      </c>
    </row>
    <row r="181" spans="1:19" ht="15.6" x14ac:dyDescent="0.3">
      <c r="A181" s="36" t="s">
        <v>186</v>
      </c>
      <c r="B181" s="36" t="s">
        <v>451</v>
      </c>
      <c r="C181" s="36" t="s">
        <v>259</v>
      </c>
      <c r="D181" s="37">
        <v>651177.35</v>
      </c>
      <c r="E181" s="38">
        <v>25857.987008781987</v>
      </c>
      <c r="F181" s="39">
        <v>3.9709592185265638E-2</v>
      </c>
      <c r="G181" s="40">
        <v>0.7625572357515199</v>
      </c>
      <c r="H181" s="41">
        <v>0.74600254058827309</v>
      </c>
      <c r="I181" s="42">
        <v>1</v>
      </c>
      <c r="J181" s="43">
        <v>0.15</v>
      </c>
      <c r="K181" s="51" t="str">
        <f t="shared" si="16"/>
        <v>Low Revenue</v>
      </c>
      <c r="L181" s="51" t="str">
        <f t="shared" si="17"/>
        <v>Low Profit</v>
      </c>
      <c r="M181" s="53" t="str">
        <f t="shared" si="18"/>
        <v>Value Destroyers</v>
      </c>
      <c r="N181" s="56" t="str">
        <f t="shared" si="19"/>
        <v>High Cost</v>
      </c>
      <c r="O181" s="33">
        <f t="shared" si="20"/>
        <v>0.16666666666666666</v>
      </c>
      <c r="P181" s="57">
        <v>0.15</v>
      </c>
      <c r="Q181" s="48">
        <f t="shared" si="21"/>
        <v>0.25399745941172691</v>
      </c>
      <c r="R181" s="60">
        <f t="shared" si="22"/>
        <v>0.18786590449018475</v>
      </c>
      <c r="S181" s="61" t="str">
        <f t="shared" si="23"/>
        <v>Low Risk</v>
      </c>
    </row>
    <row r="182" spans="1:19" ht="15.6" x14ac:dyDescent="0.3">
      <c r="A182" s="36" t="s">
        <v>187</v>
      </c>
      <c r="B182" s="36" t="s">
        <v>452</v>
      </c>
      <c r="C182" s="36" t="s">
        <v>259</v>
      </c>
      <c r="D182" s="37">
        <v>2232437.13</v>
      </c>
      <c r="E182" s="38">
        <v>1523269.0843742217</v>
      </c>
      <c r="F182" s="39">
        <v>0.68233459473692848</v>
      </c>
      <c r="G182" s="40">
        <v>0.20702038762453304</v>
      </c>
      <c r="H182" s="41">
        <v>0.81131834316848672</v>
      </c>
      <c r="I182" s="42">
        <v>1</v>
      </c>
      <c r="J182" s="43">
        <v>0.01</v>
      </c>
      <c r="K182" s="51" t="str">
        <f t="shared" si="16"/>
        <v>High Revenue</v>
      </c>
      <c r="L182" s="51" t="str">
        <f t="shared" si="17"/>
        <v>High Profit</v>
      </c>
      <c r="M182" s="53" t="str">
        <f t="shared" si="18"/>
        <v>Strategic Gold</v>
      </c>
      <c r="N182" s="56" t="str">
        <f t="shared" si="19"/>
        <v>Low Cost</v>
      </c>
      <c r="O182" s="33">
        <f t="shared" si="20"/>
        <v>0.16666666666666666</v>
      </c>
      <c r="P182" s="57">
        <v>0.01</v>
      </c>
      <c r="Q182" s="48">
        <f t="shared" si="21"/>
        <v>0.18868165683151328</v>
      </c>
      <c r="R182" s="60">
        <f t="shared" si="22"/>
        <v>0.12627116371612065</v>
      </c>
      <c r="S182" s="61" t="str">
        <f t="shared" si="23"/>
        <v>Low Risk</v>
      </c>
    </row>
    <row r="183" spans="1:19" ht="15.6" x14ac:dyDescent="0.3">
      <c r="A183" s="36" t="s">
        <v>188</v>
      </c>
      <c r="B183" s="36" t="s">
        <v>453</v>
      </c>
      <c r="C183" s="36" t="s">
        <v>258</v>
      </c>
      <c r="D183" s="37">
        <v>201263.4</v>
      </c>
      <c r="E183" s="38">
        <v>10506.968601038214</v>
      </c>
      <c r="F183" s="39">
        <v>5.2205063618314181E-2</v>
      </c>
      <c r="G183" s="40">
        <v>0.78379874333833177</v>
      </c>
      <c r="H183" s="41">
        <v>0.75924793209393249</v>
      </c>
      <c r="I183" s="42">
        <v>0</v>
      </c>
      <c r="J183" s="43">
        <v>0.1</v>
      </c>
      <c r="K183" s="51" t="str">
        <f t="shared" si="16"/>
        <v>Low Revenue</v>
      </c>
      <c r="L183" s="51" t="str">
        <f t="shared" si="17"/>
        <v>Low Profit</v>
      </c>
      <c r="M183" s="53" t="str">
        <f t="shared" si="18"/>
        <v>Value Destroyers</v>
      </c>
      <c r="N183" s="56" t="str">
        <f t="shared" si="19"/>
        <v>High Cost</v>
      </c>
      <c r="O183" s="33">
        <f t="shared" si="20"/>
        <v>0</v>
      </c>
      <c r="P183" s="57">
        <v>0.1</v>
      </c>
      <c r="Q183" s="48">
        <f t="shared" si="21"/>
        <v>0.24075206790606751</v>
      </c>
      <c r="R183" s="60">
        <f t="shared" si="22"/>
        <v>0.10222562037182024</v>
      </c>
      <c r="S183" s="61" t="str">
        <f t="shared" si="23"/>
        <v>Low Risk</v>
      </c>
    </row>
    <row r="184" spans="1:19" ht="15.6" x14ac:dyDescent="0.3">
      <c r="A184" s="36" t="s">
        <v>189</v>
      </c>
      <c r="B184" s="36" t="s">
        <v>454</v>
      </c>
      <c r="C184" s="36" t="s">
        <v>260</v>
      </c>
      <c r="D184" s="37">
        <v>4508686.08</v>
      </c>
      <c r="E184" s="38">
        <v>2271500.5425520036</v>
      </c>
      <c r="F184" s="39">
        <v>0.503805432946</v>
      </c>
      <c r="G184" s="40">
        <v>0.31232824264402992</v>
      </c>
      <c r="H184" s="41">
        <v>0.81943432263216798</v>
      </c>
      <c r="I184" s="42">
        <v>1</v>
      </c>
      <c r="J184" s="43">
        <v>0.28000000000000003</v>
      </c>
      <c r="K184" s="51" t="str">
        <f t="shared" si="16"/>
        <v>High Revenue</v>
      </c>
      <c r="L184" s="51" t="str">
        <f t="shared" si="17"/>
        <v>High Profit</v>
      </c>
      <c r="M184" s="53" t="str">
        <f t="shared" si="18"/>
        <v>Strategic Gold</v>
      </c>
      <c r="N184" s="56" t="str">
        <f t="shared" si="19"/>
        <v>Low Cost</v>
      </c>
      <c r="O184" s="33">
        <f t="shared" si="20"/>
        <v>0.16666666666666666</v>
      </c>
      <c r="P184" s="57">
        <v>0.28000000000000003</v>
      </c>
      <c r="Q184" s="48">
        <f t="shared" si="21"/>
        <v>0.18056567736783202</v>
      </c>
      <c r="R184" s="60">
        <f t="shared" si="22"/>
        <v>0.20483636987701628</v>
      </c>
      <c r="S184" s="61" t="str">
        <f t="shared" si="23"/>
        <v>Low Risk</v>
      </c>
    </row>
    <row r="185" spans="1:19" ht="15.6" x14ac:dyDescent="0.3">
      <c r="A185" s="36" t="s">
        <v>190</v>
      </c>
      <c r="B185" s="36" t="s">
        <v>455</v>
      </c>
      <c r="C185" s="36" t="s">
        <v>258</v>
      </c>
      <c r="D185" s="37">
        <v>486219.5</v>
      </c>
      <c r="E185" s="38">
        <v>194903.47322821218</v>
      </c>
      <c r="F185" s="39">
        <v>0.40085490859213213</v>
      </c>
      <c r="G185" s="40">
        <v>0.46834814317401913</v>
      </c>
      <c r="H185" s="41">
        <v>0.81588309628814182</v>
      </c>
      <c r="I185" s="42">
        <v>5</v>
      </c>
      <c r="J185" s="43">
        <v>0.05</v>
      </c>
      <c r="K185" s="51" t="str">
        <f t="shared" si="16"/>
        <v>Low Revenue</v>
      </c>
      <c r="L185" s="51" t="str">
        <f t="shared" si="17"/>
        <v>High Profit</v>
      </c>
      <c r="M185" s="53" t="str">
        <f t="shared" si="18"/>
        <v>Hidden Gems</v>
      </c>
      <c r="N185" s="56" t="str">
        <f t="shared" si="19"/>
        <v>Medium Cost</v>
      </c>
      <c r="O185" s="33">
        <f t="shared" si="20"/>
        <v>0.83333333333333337</v>
      </c>
      <c r="P185" s="57">
        <v>0.05</v>
      </c>
      <c r="Q185" s="48">
        <f t="shared" si="21"/>
        <v>0.18411690371185818</v>
      </c>
      <c r="R185" s="60">
        <f t="shared" si="22"/>
        <v>0.40356840444689085</v>
      </c>
      <c r="S185" s="61" t="str">
        <f t="shared" si="23"/>
        <v>Medium Risk</v>
      </c>
    </row>
    <row r="186" spans="1:19" ht="15.6" x14ac:dyDescent="0.3">
      <c r="A186" s="36" t="s">
        <v>191</v>
      </c>
      <c r="B186" s="36" t="s">
        <v>456</v>
      </c>
      <c r="C186" s="36" t="s">
        <v>260</v>
      </c>
      <c r="D186" s="37">
        <v>9175089.5999999996</v>
      </c>
      <c r="E186" s="38">
        <v>6586880.9076315435</v>
      </c>
      <c r="F186" s="39">
        <v>0.7179091643564488</v>
      </c>
      <c r="G186" s="40">
        <v>0.15671236605689387</v>
      </c>
      <c r="H186" s="41">
        <v>0.84599220085684257</v>
      </c>
      <c r="I186" s="42">
        <v>1</v>
      </c>
      <c r="J186" s="43">
        <v>0.28000000000000003</v>
      </c>
      <c r="K186" s="51" t="str">
        <f t="shared" si="16"/>
        <v>High Revenue</v>
      </c>
      <c r="L186" s="51" t="str">
        <f t="shared" si="17"/>
        <v>High Profit</v>
      </c>
      <c r="M186" s="53" t="str">
        <f t="shared" si="18"/>
        <v>Strategic Gold</v>
      </c>
      <c r="N186" s="56" t="str">
        <f t="shared" si="19"/>
        <v>Low Cost</v>
      </c>
      <c r="O186" s="33">
        <f t="shared" si="20"/>
        <v>0.16666666666666666</v>
      </c>
      <c r="P186" s="57">
        <v>0.28000000000000003</v>
      </c>
      <c r="Q186" s="48">
        <f t="shared" si="21"/>
        <v>0.15400779914315743</v>
      </c>
      <c r="R186" s="60">
        <f t="shared" si="22"/>
        <v>0.19686900640961391</v>
      </c>
      <c r="S186" s="61" t="str">
        <f t="shared" si="23"/>
        <v>Low Risk</v>
      </c>
    </row>
    <row r="187" spans="1:19" ht="15.6" x14ac:dyDescent="0.3">
      <c r="A187" s="36" t="s">
        <v>192</v>
      </c>
      <c r="B187" s="36" t="s">
        <v>457</v>
      </c>
      <c r="C187" s="36" t="s">
        <v>260</v>
      </c>
      <c r="D187" s="37">
        <v>4480607.88</v>
      </c>
      <c r="E187" s="38">
        <v>3135673.9860510146</v>
      </c>
      <c r="F187" s="39">
        <v>0.69983227053803576</v>
      </c>
      <c r="G187" s="40">
        <v>0.20508377983748044</v>
      </c>
      <c r="H187" s="41">
        <v>0.89235911227963971</v>
      </c>
      <c r="I187" s="42">
        <v>1</v>
      </c>
      <c r="J187" s="43">
        <v>0.13</v>
      </c>
      <c r="K187" s="51" t="str">
        <f t="shared" si="16"/>
        <v>High Revenue</v>
      </c>
      <c r="L187" s="51" t="str">
        <f t="shared" si="17"/>
        <v>High Profit</v>
      </c>
      <c r="M187" s="53" t="str">
        <f t="shared" si="18"/>
        <v>Strategic Gold</v>
      </c>
      <c r="N187" s="56" t="str">
        <f t="shared" si="19"/>
        <v>Low Cost</v>
      </c>
      <c r="O187" s="33">
        <f t="shared" si="20"/>
        <v>0.16666666666666666</v>
      </c>
      <c r="P187" s="57">
        <v>0.13</v>
      </c>
      <c r="Q187" s="48">
        <f t="shared" si="21"/>
        <v>0.10764088772036029</v>
      </c>
      <c r="R187" s="60">
        <f t="shared" si="22"/>
        <v>0.13795893298277473</v>
      </c>
      <c r="S187" s="61" t="str">
        <f t="shared" si="23"/>
        <v>Low Risk</v>
      </c>
    </row>
    <row r="188" spans="1:19" ht="15.6" x14ac:dyDescent="0.3">
      <c r="A188" s="36" t="s">
        <v>193</v>
      </c>
      <c r="B188" s="36" t="s">
        <v>458</v>
      </c>
      <c r="C188" s="36" t="s">
        <v>258</v>
      </c>
      <c r="D188" s="37">
        <v>548516.88</v>
      </c>
      <c r="E188" s="38">
        <v>309109.16831318423</v>
      </c>
      <c r="F188" s="39">
        <v>0.56353629137754924</v>
      </c>
      <c r="G188" s="40">
        <v>0.33304353368304729</v>
      </c>
      <c r="H188" s="41">
        <v>0.83952845903497075</v>
      </c>
      <c r="I188" s="42">
        <v>4</v>
      </c>
      <c r="J188" s="43">
        <v>0.08</v>
      </c>
      <c r="K188" s="51" t="str">
        <f t="shared" si="16"/>
        <v>Low Revenue</v>
      </c>
      <c r="L188" s="51" t="str">
        <f t="shared" si="17"/>
        <v>High Profit</v>
      </c>
      <c r="M188" s="53" t="str">
        <f t="shared" si="18"/>
        <v>Hidden Gems</v>
      </c>
      <c r="N188" s="56" t="str">
        <f t="shared" si="19"/>
        <v>Low Cost</v>
      </c>
      <c r="O188" s="33">
        <f t="shared" si="20"/>
        <v>0.66666666666666663</v>
      </c>
      <c r="P188" s="57">
        <v>0.08</v>
      </c>
      <c r="Q188" s="48">
        <f t="shared" si="21"/>
        <v>0.16047154096502925</v>
      </c>
      <c r="R188" s="60">
        <f t="shared" si="22"/>
        <v>0.33880812895617546</v>
      </c>
      <c r="S188" s="61" t="str">
        <f t="shared" si="23"/>
        <v>Low Risk</v>
      </c>
    </row>
    <row r="189" spans="1:19" ht="15.6" x14ac:dyDescent="0.3">
      <c r="A189" s="36" t="s">
        <v>194</v>
      </c>
      <c r="B189" s="36" t="s">
        <v>459</v>
      </c>
      <c r="C189" s="36" t="s">
        <v>258</v>
      </c>
      <c r="D189" s="37">
        <v>344892.75</v>
      </c>
      <c r="E189" s="38">
        <v>115479.52059196566</v>
      </c>
      <c r="F189" s="39">
        <v>0.33482733572093254</v>
      </c>
      <c r="G189" s="40">
        <v>0.53938506970645217</v>
      </c>
      <c r="H189" s="41">
        <v>0.60090478450923979</v>
      </c>
      <c r="I189" s="42">
        <v>3</v>
      </c>
      <c r="J189" s="43">
        <v>0.05</v>
      </c>
      <c r="K189" s="51" t="str">
        <f t="shared" si="16"/>
        <v>Low Revenue</v>
      </c>
      <c r="L189" s="51" t="str">
        <f t="shared" si="17"/>
        <v>High Profit</v>
      </c>
      <c r="M189" s="53" t="str">
        <f t="shared" si="18"/>
        <v>Hidden Gems</v>
      </c>
      <c r="N189" s="56" t="str">
        <f t="shared" si="19"/>
        <v>Medium Cost</v>
      </c>
      <c r="O189" s="33">
        <f t="shared" si="20"/>
        <v>0.5</v>
      </c>
      <c r="P189" s="57">
        <v>0.05</v>
      </c>
      <c r="Q189" s="48">
        <f t="shared" si="21"/>
        <v>0.39909521549076021</v>
      </c>
      <c r="R189" s="60">
        <f t="shared" si="22"/>
        <v>0.33472856464722811</v>
      </c>
      <c r="S189" s="61" t="str">
        <f t="shared" si="23"/>
        <v>Low Risk</v>
      </c>
    </row>
    <row r="190" spans="1:19" ht="15.6" x14ac:dyDescent="0.3">
      <c r="A190" s="36" t="s">
        <v>195</v>
      </c>
      <c r="B190" s="36" t="s">
        <v>460</v>
      </c>
      <c r="C190" s="36" t="s">
        <v>258</v>
      </c>
      <c r="D190" s="37">
        <v>159739.65</v>
      </c>
      <c r="E190" s="38">
        <v>-9633.2226203129976</v>
      </c>
      <c r="F190" s="39">
        <v>-6.0305770172358573E-2</v>
      </c>
      <c r="G190" s="40">
        <v>0.8399292223314625</v>
      </c>
      <c r="H190" s="41">
        <v>0.61351036221909661</v>
      </c>
      <c r="I190" s="42">
        <v>5</v>
      </c>
      <c r="J190" s="43">
        <v>0.05</v>
      </c>
      <c r="K190" s="51" t="str">
        <f t="shared" si="16"/>
        <v>Low Revenue</v>
      </c>
      <c r="L190" s="51" t="str">
        <f t="shared" si="17"/>
        <v>Low Profit</v>
      </c>
      <c r="M190" s="53" t="str">
        <f t="shared" si="18"/>
        <v>Value Destroyers</v>
      </c>
      <c r="N190" s="56" t="str">
        <f t="shared" si="19"/>
        <v>High Cost</v>
      </c>
      <c r="O190" s="33">
        <f t="shared" si="20"/>
        <v>0.83333333333333337</v>
      </c>
      <c r="P190" s="57">
        <v>0.05</v>
      </c>
      <c r="Q190" s="48">
        <f t="shared" si="21"/>
        <v>0.38648963778090339</v>
      </c>
      <c r="R190" s="60">
        <f t="shared" si="22"/>
        <v>0.46428022466760438</v>
      </c>
      <c r="S190" s="61" t="str">
        <f t="shared" si="23"/>
        <v>Medium Risk</v>
      </c>
    </row>
    <row r="191" spans="1:19" ht="15.6" x14ac:dyDescent="0.3">
      <c r="A191" s="36" t="s">
        <v>196</v>
      </c>
      <c r="B191" s="36" t="s">
        <v>461</v>
      </c>
      <c r="C191" s="36" t="s">
        <v>259</v>
      </c>
      <c r="D191" s="37">
        <v>2173396.5499999998</v>
      </c>
      <c r="E191" s="38">
        <v>1486328.705406388</v>
      </c>
      <c r="F191" s="39">
        <v>0.68387368398389525</v>
      </c>
      <c r="G191" s="40">
        <v>0.21847830760566914</v>
      </c>
      <c r="H191" s="41">
        <v>0.76711009930541074</v>
      </c>
      <c r="I191" s="42">
        <v>4</v>
      </c>
      <c r="J191" s="43">
        <v>0.03</v>
      </c>
      <c r="K191" s="51" t="str">
        <f t="shared" si="16"/>
        <v>High Revenue</v>
      </c>
      <c r="L191" s="51" t="str">
        <f t="shared" si="17"/>
        <v>High Profit</v>
      </c>
      <c r="M191" s="53" t="str">
        <f t="shared" si="18"/>
        <v>Strategic Gold</v>
      </c>
      <c r="N191" s="56" t="str">
        <f t="shared" si="19"/>
        <v>Low Cost</v>
      </c>
      <c r="O191" s="33">
        <f t="shared" si="20"/>
        <v>0.66666666666666663</v>
      </c>
      <c r="P191" s="57">
        <v>0.03</v>
      </c>
      <c r="Q191" s="48">
        <f t="shared" si="21"/>
        <v>0.23288990069458926</v>
      </c>
      <c r="R191" s="60">
        <f t="shared" si="22"/>
        <v>0.34553363687504346</v>
      </c>
      <c r="S191" s="61" t="str">
        <f t="shared" si="23"/>
        <v>Low Risk</v>
      </c>
    </row>
    <row r="192" spans="1:19" ht="15.6" x14ac:dyDescent="0.3">
      <c r="A192" s="36" t="s">
        <v>197</v>
      </c>
      <c r="B192" s="36" t="s">
        <v>462</v>
      </c>
      <c r="C192" s="36" t="s">
        <v>258</v>
      </c>
      <c r="D192" s="37">
        <v>307717.34999999998</v>
      </c>
      <c r="E192" s="38">
        <v>194093.3257219558</v>
      </c>
      <c r="F192" s="39">
        <v>0.63075197327013188</v>
      </c>
      <c r="G192" s="40">
        <v>0.27252282004898326</v>
      </c>
      <c r="H192" s="41">
        <v>0.75471138610100086</v>
      </c>
      <c r="I192" s="42">
        <v>3</v>
      </c>
      <c r="J192" s="43">
        <v>0.05</v>
      </c>
      <c r="K192" s="51" t="str">
        <f t="shared" si="16"/>
        <v>Low Revenue</v>
      </c>
      <c r="L192" s="51" t="str">
        <f t="shared" si="17"/>
        <v>High Profit</v>
      </c>
      <c r="M192" s="53" t="str">
        <f t="shared" si="18"/>
        <v>Hidden Gems</v>
      </c>
      <c r="N192" s="56" t="str">
        <f t="shared" si="19"/>
        <v>Low Cost</v>
      </c>
      <c r="O192" s="33">
        <f t="shared" si="20"/>
        <v>0.5</v>
      </c>
      <c r="P192" s="57">
        <v>0.05</v>
      </c>
      <c r="Q192" s="48">
        <f t="shared" si="21"/>
        <v>0.24528861389899914</v>
      </c>
      <c r="R192" s="60">
        <f t="shared" si="22"/>
        <v>0.28858658416969973</v>
      </c>
      <c r="S192" s="61" t="str">
        <f t="shared" si="23"/>
        <v>Low Risk</v>
      </c>
    </row>
    <row r="193" spans="1:19" ht="15.6" x14ac:dyDescent="0.3">
      <c r="A193" s="36" t="s">
        <v>198</v>
      </c>
      <c r="B193" s="36" t="s">
        <v>463</v>
      </c>
      <c r="C193" s="36" t="s">
        <v>259</v>
      </c>
      <c r="D193" s="37">
        <v>1012855.5900000001</v>
      </c>
      <c r="E193" s="38">
        <v>516465.29426709912</v>
      </c>
      <c r="F193" s="39">
        <v>0.50991009909625817</v>
      </c>
      <c r="G193" s="40">
        <v>0.34101603763671778</v>
      </c>
      <c r="H193" s="41">
        <v>0.70688275381844845</v>
      </c>
      <c r="I193" s="42">
        <v>2</v>
      </c>
      <c r="J193" s="43">
        <v>0.19</v>
      </c>
      <c r="K193" s="51" t="str">
        <f t="shared" si="16"/>
        <v>High Revenue</v>
      </c>
      <c r="L193" s="51" t="str">
        <f t="shared" si="17"/>
        <v>High Profit</v>
      </c>
      <c r="M193" s="53" t="str">
        <f t="shared" si="18"/>
        <v>Strategic Gold</v>
      </c>
      <c r="N193" s="56" t="str">
        <f t="shared" si="19"/>
        <v>Low Cost</v>
      </c>
      <c r="O193" s="33">
        <f t="shared" si="20"/>
        <v>0.33333333333333331</v>
      </c>
      <c r="P193" s="57">
        <v>0.19</v>
      </c>
      <c r="Q193" s="48">
        <f t="shared" si="21"/>
        <v>0.29311724618155155</v>
      </c>
      <c r="R193" s="60">
        <f t="shared" si="22"/>
        <v>0.27826850718779877</v>
      </c>
      <c r="S193" s="61" t="str">
        <f t="shared" si="23"/>
        <v>Low Risk</v>
      </c>
    </row>
    <row r="194" spans="1:19" ht="15.6" x14ac:dyDescent="0.3">
      <c r="A194" s="36" t="s">
        <v>199</v>
      </c>
      <c r="B194" s="36" t="s">
        <v>464</v>
      </c>
      <c r="C194" s="36" t="s">
        <v>259</v>
      </c>
      <c r="D194" s="37">
        <v>948667.74</v>
      </c>
      <c r="E194" s="38">
        <v>370466.5606427826</v>
      </c>
      <c r="F194" s="39">
        <v>0.39051244711112726</v>
      </c>
      <c r="G194" s="40">
        <v>0.4328491237617082</v>
      </c>
      <c r="H194" s="41">
        <v>0.77258943371389432</v>
      </c>
      <c r="I194" s="42">
        <v>0</v>
      </c>
      <c r="J194" s="43">
        <v>0.06</v>
      </c>
      <c r="K194" s="51" t="str">
        <f t="shared" si="16"/>
        <v>High Revenue</v>
      </c>
      <c r="L194" s="51" t="str">
        <f t="shared" si="17"/>
        <v>High Profit</v>
      </c>
      <c r="M194" s="53" t="str">
        <f t="shared" si="18"/>
        <v>Strategic Gold</v>
      </c>
      <c r="N194" s="56" t="str">
        <f t="shared" si="19"/>
        <v>Medium Cost</v>
      </c>
      <c r="O194" s="33">
        <f t="shared" si="20"/>
        <v>0</v>
      </c>
      <c r="P194" s="57">
        <v>0.06</v>
      </c>
      <c r="Q194" s="48">
        <f t="shared" si="21"/>
        <v>0.22741056628610568</v>
      </c>
      <c r="R194" s="60">
        <f t="shared" si="22"/>
        <v>8.6223169885831702E-2</v>
      </c>
      <c r="S194" s="61" t="str">
        <f t="shared" si="23"/>
        <v>Low Risk</v>
      </c>
    </row>
    <row r="195" spans="1:19" ht="15.6" x14ac:dyDescent="0.3">
      <c r="A195" s="36" t="s">
        <v>200</v>
      </c>
      <c r="B195" s="36" t="s">
        <v>465</v>
      </c>
      <c r="C195" s="36" t="s">
        <v>258</v>
      </c>
      <c r="D195" s="37">
        <v>527690.80000000005</v>
      </c>
      <c r="E195" s="38">
        <v>273259.12257243181</v>
      </c>
      <c r="F195" s="39">
        <v>0.51783946692349347</v>
      </c>
      <c r="G195" s="40">
        <v>0.36722262355151913</v>
      </c>
      <c r="H195" s="41">
        <v>0.77702043064811765</v>
      </c>
      <c r="I195" s="42">
        <v>3</v>
      </c>
      <c r="J195" s="43">
        <v>0.02</v>
      </c>
      <c r="K195" s="51" t="str">
        <f t="shared" si="16"/>
        <v>Low Revenue</v>
      </c>
      <c r="L195" s="51" t="str">
        <f t="shared" si="17"/>
        <v>High Profit</v>
      </c>
      <c r="M195" s="53" t="str">
        <f t="shared" si="18"/>
        <v>Hidden Gems</v>
      </c>
      <c r="N195" s="56" t="str">
        <f t="shared" si="19"/>
        <v>Low Cost</v>
      </c>
      <c r="O195" s="33">
        <f t="shared" si="20"/>
        <v>0.5</v>
      </c>
      <c r="P195" s="57">
        <v>0.02</v>
      </c>
      <c r="Q195" s="48">
        <f t="shared" si="21"/>
        <v>0.22297956935188235</v>
      </c>
      <c r="R195" s="60">
        <f t="shared" si="22"/>
        <v>0.27289387080556471</v>
      </c>
      <c r="S195" s="61" t="str">
        <f t="shared" si="23"/>
        <v>Low Risk</v>
      </c>
    </row>
    <row r="196" spans="1:19" ht="15.6" x14ac:dyDescent="0.3">
      <c r="A196" s="36" t="s">
        <v>201</v>
      </c>
      <c r="B196" s="36" t="s">
        <v>466</v>
      </c>
      <c r="C196" s="36" t="s">
        <v>259</v>
      </c>
      <c r="D196" s="37">
        <v>534850.67999999993</v>
      </c>
      <c r="E196" s="38">
        <v>1461.4940661606088</v>
      </c>
      <c r="F196" s="39">
        <v>2.7325272656671369E-3</v>
      </c>
      <c r="G196" s="40">
        <v>0.76942970325848714</v>
      </c>
      <c r="H196" s="41">
        <v>0.71022858400541011</v>
      </c>
      <c r="I196" s="42">
        <v>4</v>
      </c>
      <c r="J196" s="43">
        <v>0.16</v>
      </c>
      <c r="K196" s="51" t="str">
        <f t="shared" ref="K196:K252" si="24">IF(D196&gt;=MEDIAN(D196:D445), "High Revenue", "Low Revenue")</f>
        <v>Low Revenue</v>
      </c>
      <c r="L196" s="51" t="str">
        <f t="shared" ref="L196:L252" si="25">IF(F196&gt;=0.25, "High Profit", "Low Profit")</f>
        <v>Low Profit</v>
      </c>
      <c r="M196" s="53" t="str">
        <f t="shared" ref="M196:M252" si="26">IF(AND(K196="High Revenue", L196="High Profit"), "Strategic Gold", IF(AND(K196="High Revenue", L196="Low Profit"), "Margin Diluters", IF(AND(K196="Low Revenue", L196="High Profit"), "Hidden Gems", "Value Destroyers")))</f>
        <v>Value Destroyers</v>
      </c>
      <c r="N196" s="56" t="str">
        <f t="shared" ref="N196:N252" si="27">IF(G196&lt;0.4,"Low Cost",IF(G196&lt;=0.7,"Medium Cost","High Cost"))</f>
        <v>High Cost</v>
      </c>
      <c r="O196" s="33">
        <f t="shared" ref="O196:O252" si="28">I196/MAX(I196:I445)</f>
        <v>0.66666666666666663</v>
      </c>
      <c r="P196" s="57">
        <v>0.16</v>
      </c>
      <c r="Q196" s="48">
        <f t="shared" ref="Q196:Q252" si="29">1-H196</f>
        <v>0.28977141599458989</v>
      </c>
      <c r="R196" s="60">
        <f t="shared" ref="R196:R252" si="30">0.4*O196+0.3*P196+0.3*Q196</f>
        <v>0.40159809146504361</v>
      </c>
      <c r="S196" s="61" t="str">
        <f t="shared" ref="S196:S252" si="31">IF(R196&lt;0.35, "Low Risk", IF(R196&lt;=0.65, "Medium Risk", "High Risk"))</f>
        <v>Medium Risk</v>
      </c>
    </row>
    <row r="197" spans="1:19" ht="15.6" x14ac:dyDescent="0.3">
      <c r="A197" s="36" t="s">
        <v>202</v>
      </c>
      <c r="B197" s="36" t="s">
        <v>467</v>
      </c>
      <c r="C197" s="36" t="s">
        <v>258</v>
      </c>
      <c r="D197" s="37">
        <v>240099.96</v>
      </c>
      <c r="E197" s="38">
        <v>115805.06910776744</v>
      </c>
      <c r="F197" s="39">
        <v>0.48232023490452663</v>
      </c>
      <c r="G197" s="40">
        <v>0.37330285269518582</v>
      </c>
      <c r="H197" s="41">
        <v>0.54397276097507152</v>
      </c>
      <c r="I197" s="42">
        <v>1</v>
      </c>
      <c r="J197" s="43">
        <v>7.0000000000000007E-2</v>
      </c>
      <c r="K197" s="51" t="str">
        <f t="shared" si="24"/>
        <v>Low Revenue</v>
      </c>
      <c r="L197" s="51" t="str">
        <f t="shared" si="25"/>
        <v>High Profit</v>
      </c>
      <c r="M197" s="53" t="str">
        <f t="shared" si="26"/>
        <v>Hidden Gems</v>
      </c>
      <c r="N197" s="56" t="str">
        <f t="shared" si="27"/>
        <v>Low Cost</v>
      </c>
      <c r="O197" s="33">
        <f t="shared" si="28"/>
        <v>0.16666666666666666</v>
      </c>
      <c r="P197" s="57">
        <v>7.0000000000000007E-2</v>
      </c>
      <c r="Q197" s="48">
        <f t="shared" si="29"/>
        <v>0.45602723902492848</v>
      </c>
      <c r="R197" s="60">
        <f t="shared" si="30"/>
        <v>0.2244748383741452</v>
      </c>
      <c r="S197" s="61" t="str">
        <f t="shared" si="31"/>
        <v>Low Risk</v>
      </c>
    </row>
    <row r="198" spans="1:19" ht="15.6" x14ac:dyDescent="0.3">
      <c r="A198" s="36" t="s">
        <v>203</v>
      </c>
      <c r="B198" s="36" t="s">
        <v>468</v>
      </c>
      <c r="C198" s="36" t="s">
        <v>260</v>
      </c>
      <c r="D198" s="37">
        <v>7497160.0899999999</v>
      </c>
      <c r="E198" s="38">
        <v>3533233.4058939992</v>
      </c>
      <c r="F198" s="39">
        <v>0.47127623839949229</v>
      </c>
      <c r="G198" s="40">
        <v>0.37842595942218971</v>
      </c>
      <c r="H198" s="41">
        <v>0.81646100774433494</v>
      </c>
      <c r="I198" s="42">
        <v>2</v>
      </c>
      <c r="J198" s="43">
        <v>0.17</v>
      </c>
      <c r="K198" s="51" t="str">
        <f t="shared" si="24"/>
        <v>High Revenue</v>
      </c>
      <c r="L198" s="51" t="str">
        <f t="shared" si="25"/>
        <v>High Profit</v>
      </c>
      <c r="M198" s="53" t="str">
        <f t="shared" si="26"/>
        <v>Strategic Gold</v>
      </c>
      <c r="N198" s="56" t="str">
        <f t="shared" si="27"/>
        <v>Low Cost</v>
      </c>
      <c r="O198" s="33">
        <f t="shared" si="28"/>
        <v>0.33333333333333331</v>
      </c>
      <c r="P198" s="57">
        <v>0.17</v>
      </c>
      <c r="Q198" s="48">
        <f t="shared" si="29"/>
        <v>0.18353899225566506</v>
      </c>
      <c r="R198" s="60">
        <f t="shared" si="30"/>
        <v>0.23939503101003287</v>
      </c>
      <c r="S198" s="61" t="str">
        <f t="shared" si="31"/>
        <v>Low Risk</v>
      </c>
    </row>
    <row r="199" spans="1:19" ht="15.6" x14ac:dyDescent="0.3">
      <c r="A199" s="36" t="s">
        <v>204</v>
      </c>
      <c r="B199" s="36" t="s">
        <v>469</v>
      </c>
      <c r="C199" s="36" t="s">
        <v>260</v>
      </c>
      <c r="D199" s="37">
        <v>6983408.1200000001</v>
      </c>
      <c r="E199" s="38">
        <v>5219696.1939377254</v>
      </c>
      <c r="F199" s="39">
        <v>0.74744252437271641</v>
      </c>
      <c r="G199" s="40">
        <v>0.15299549756229913</v>
      </c>
      <c r="H199" s="41">
        <v>0.95057169744811321</v>
      </c>
      <c r="I199" s="42">
        <v>6</v>
      </c>
      <c r="J199" s="43">
        <v>0.14000000000000001</v>
      </c>
      <c r="K199" s="51" t="str">
        <f t="shared" si="24"/>
        <v>High Revenue</v>
      </c>
      <c r="L199" s="51" t="str">
        <f t="shared" si="25"/>
        <v>High Profit</v>
      </c>
      <c r="M199" s="53" t="str">
        <f t="shared" si="26"/>
        <v>Strategic Gold</v>
      </c>
      <c r="N199" s="56" t="str">
        <f t="shared" si="27"/>
        <v>Low Cost</v>
      </c>
      <c r="O199" s="33">
        <f t="shared" si="28"/>
        <v>1</v>
      </c>
      <c r="P199" s="57">
        <v>0.14000000000000001</v>
      </c>
      <c r="Q199" s="48">
        <f t="shared" si="29"/>
        <v>4.9428302551886794E-2</v>
      </c>
      <c r="R199" s="60">
        <f t="shared" si="30"/>
        <v>0.45682849076556603</v>
      </c>
      <c r="S199" s="61" t="str">
        <f t="shared" si="31"/>
        <v>Medium Risk</v>
      </c>
    </row>
    <row r="200" spans="1:19" ht="15.6" x14ac:dyDescent="0.3">
      <c r="A200" s="36" t="s">
        <v>205</v>
      </c>
      <c r="B200" s="36" t="s">
        <v>470</v>
      </c>
      <c r="C200" s="36" t="s">
        <v>258</v>
      </c>
      <c r="D200" s="37">
        <v>320270.86</v>
      </c>
      <c r="E200" s="38">
        <v>149504.38217940473</v>
      </c>
      <c r="F200" s="39">
        <v>0.46680607214594777</v>
      </c>
      <c r="G200" s="40">
        <v>0.40109799561533638</v>
      </c>
      <c r="H200" s="41">
        <v>0.79984040339243656</v>
      </c>
      <c r="I200" s="42">
        <v>4</v>
      </c>
      <c r="J200" s="43">
        <v>0.02</v>
      </c>
      <c r="K200" s="51" t="str">
        <f t="shared" si="24"/>
        <v>Low Revenue</v>
      </c>
      <c r="L200" s="51" t="str">
        <f t="shared" si="25"/>
        <v>High Profit</v>
      </c>
      <c r="M200" s="53" t="str">
        <f t="shared" si="26"/>
        <v>Hidden Gems</v>
      </c>
      <c r="N200" s="56" t="str">
        <f t="shared" si="27"/>
        <v>Medium Cost</v>
      </c>
      <c r="O200" s="33">
        <f t="shared" si="28"/>
        <v>0.66666666666666663</v>
      </c>
      <c r="P200" s="57">
        <v>0.02</v>
      </c>
      <c r="Q200" s="48">
        <f t="shared" si="29"/>
        <v>0.20015959660756344</v>
      </c>
      <c r="R200" s="60">
        <f t="shared" si="30"/>
        <v>0.33271454564893571</v>
      </c>
      <c r="S200" s="61" t="str">
        <f t="shared" si="31"/>
        <v>Low Risk</v>
      </c>
    </row>
    <row r="201" spans="1:19" ht="15.6" x14ac:dyDescent="0.3">
      <c r="A201" s="36" t="s">
        <v>206</v>
      </c>
      <c r="B201" s="36" t="s">
        <v>471</v>
      </c>
      <c r="C201" s="36" t="s">
        <v>258</v>
      </c>
      <c r="D201" s="37">
        <v>146800.80000000002</v>
      </c>
      <c r="E201" s="38">
        <v>-30090.941171090606</v>
      </c>
      <c r="F201" s="39">
        <v>-0.20497804624423438</v>
      </c>
      <c r="G201" s="40">
        <v>1.0081688928125732</v>
      </c>
      <c r="H201" s="41">
        <v>0.72530599034247756</v>
      </c>
      <c r="I201" s="42">
        <v>3</v>
      </c>
      <c r="J201" s="43">
        <v>0.1</v>
      </c>
      <c r="K201" s="51" t="str">
        <f t="shared" si="24"/>
        <v>Low Revenue</v>
      </c>
      <c r="L201" s="51" t="str">
        <f t="shared" si="25"/>
        <v>Low Profit</v>
      </c>
      <c r="M201" s="53" t="str">
        <f t="shared" si="26"/>
        <v>Value Destroyers</v>
      </c>
      <c r="N201" s="56" t="str">
        <f t="shared" si="27"/>
        <v>High Cost</v>
      </c>
      <c r="O201" s="33">
        <f t="shared" si="28"/>
        <v>0.5</v>
      </c>
      <c r="P201" s="57">
        <v>0.1</v>
      </c>
      <c r="Q201" s="48">
        <f t="shared" si="29"/>
        <v>0.27469400965752244</v>
      </c>
      <c r="R201" s="60">
        <f t="shared" si="30"/>
        <v>0.31240820289725674</v>
      </c>
      <c r="S201" s="61" t="str">
        <f t="shared" si="31"/>
        <v>Low Risk</v>
      </c>
    </row>
    <row r="202" spans="1:19" ht="15.6" x14ac:dyDescent="0.3">
      <c r="A202" s="36" t="s">
        <v>207</v>
      </c>
      <c r="B202" s="36" t="s">
        <v>472</v>
      </c>
      <c r="C202" s="36" t="s">
        <v>260</v>
      </c>
      <c r="D202" s="37">
        <v>9105890.4000000004</v>
      </c>
      <c r="E202" s="38">
        <v>6046864.3465867033</v>
      </c>
      <c r="F202" s="39">
        <v>0.6640607432071336</v>
      </c>
      <c r="G202" s="40">
        <v>0.23825896257218293</v>
      </c>
      <c r="H202" s="41">
        <v>0.93417604059031822</v>
      </c>
      <c r="I202" s="42">
        <v>2</v>
      </c>
      <c r="J202" s="43">
        <v>0.28000000000000003</v>
      </c>
      <c r="K202" s="51" t="str">
        <f t="shared" si="24"/>
        <v>High Revenue</v>
      </c>
      <c r="L202" s="51" t="str">
        <f t="shared" si="25"/>
        <v>High Profit</v>
      </c>
      <c r="M202" s="53" t="str">
        <f t="shared" si="26"/>
        <v>Strategic Gold</v>
      </c>
      <c r="N202" s="56" t="str">
        <f t="shared" si="27"/>
        <v>Low Cost</v>
      </c>
      <c r="O202" s="33">
        <f t="shared" si="28"/>
        <v>0.33333333333333331</v>
      </c>
      <c r="P202" s="57">
        <v>0.28000000000000003</v>
      </c>
      <c r="Q202" s="48">
        <f t="shared" si="29"/>
        <v>6.5823959409681776E-2</v>
      </c>
      <c r="R202" s="60">
        <f t="shared" si="30"/>
        <v>0.23708052115623784</v>
      </c>
      <c r="S202" s="61" t="str">
        <f t="shared" si="31"/>
        <v>Low Risk</v>
      </c>
    </row>
    <row r="203" spans="1:19" ht="15.6" x14ac:dyDescent="0.3">
      <c r="A203" s="36" t="s">
        <v>208</v>
      </c>
      <c r="B203" s="36" t="s">
        <v>473</v>
      </c>
      <c r="C203" s="36" t="s">
        <v>260</v>
      </c>
      <c r="D203" s="37">
        <v>5153692.1199999992</v>
      </c>
      <c r="E203" s="38">
        <v>1644019.9225027976</v>
      </c>
      <c r="F203" s="39">
        <v>0.31899847414687976</v>
      </c>
      <c r="G203" s="40">
        <v>0.49873371170647274</v>
      </c>
      <c r="H203" s="41">
        <v>0.95303820625852631</v>
      </c>
      <c r="I203" s="42">
        <v>2</v>
      </c>
      <c r="J203" s="43">
        <v>0.32</v>
      </c>
      <c r="K203" s="51" t="str">
        <f t="shared" si="24"/>
        <v>High Revenue</v>
      </c>
      <c r="L203" s="51" t="str">
        <f t="shared" si="25"/>
        <v>High Profit</v>
      </c>
      <c r="M203" s="53" t="str">
        <f t="shared" si="26"/>
        <v>Strategic Gold</v>
      </c>
      <c r="N203" s="56" t="str">
        <f t="shared" si="27"/>
        <v>Medium Cost</v>
      </c>
      <c r="O203" s="33">
        <f t="shared" si="28"/>
        <v>0.33333333333333331</v>
      </c>
      <c r="P203" s="57">
        <v>0.32</v>
      </c>
      <c r="Q203" s="48">
        <f t="shared" si="29"/>
        <v>4.696179374147369E-2</v>
      </c>
      <c r="R203" s="60">
        <f t="shared" si="30"/>
        <v>0.24342187145577543</v>
      </c>
      <c r="S203" s="61" t="str">
        <f t="shared" si="31"/>
        <v>Low Risk</v>
      </c>
    </row>
    <row r="204" spans="1:19" ht="15.6" x14ac:dyDescent="0.3">
      <c r="A204" s="36" t="s">
        <v>209</v>
      </c>
      <c r="B204" s="36" t="s">
        <v>474</v>
      </c>
      <c r="C204" s="36" t="s">
        <v>259</v>
      </c>
      <c r="D204" s="37">
        <v>1461127.68</v>
      </c>
      <c r="E204" s="38">
        <v>1056008.986967348</v>
      </c>
      <c r="F204" s="39">
        <v>0.72273559759496719</v>
      </c>
      <c r="G204" s="40">
        <v>0.17502234986062273</v>
      </c>
      <c r="H204" s="41">
        <v>0.89335033069395342</v>
      </c>
      <c r="I204" s="42">
        <v>1</v>
      </c>
      <c r="J204" s="43">
        <v>0.04</v>
      </c>
      <c r="K204" s="51" t="str">
        <f t="shared" si="24"/>
        <v>High Revenue</v>
      </c>
      <c r="L204" s="51" t="str">
        <f t="shared" si="25"/>
        <v>High Profit</v>
      </c>
      <c r="M204" s="53" t="str">
        <f t="shared" si="26"/>
        <v>Strategic Gold</v>
      </c>
      <c r="N204" s="56" t="str">
        <f t="shared" si="27"/>
        <v>Low Cost</v>
      </c>
      <c r="O204" s="33">
        <f t="shared" si="28"/>
        <v>0.16666666666666666</v>
      </c>
      <c r="P204" s="57">
        <v>0.04</v>
      </c>
      <c r="Q204" s="48">
        <f t="shared" si="29"/>
        <v>0.10664966930604658</v>
      </c>
      <c r="R204" s="60">
        <f t="shared" si="30"/>
        <v>0.11066156745848063</v>
      </c>
      <c r="S204" s="61" t="str">
        <f t="shared" si="31"/>
        <v>Low Risk</v>
      </c>
    </row>
    <row r="205" spans="1:19" ht="15.6" x14ac:dyDescent="0.3">
      <c r="A205" s="36" t="s">
        <v>210</v>
      </c>
      <c r="B205" s="36" t="s">
        <v>475</v>
      </c>
      <c r="C205" s="36" t="s">
        <v>260</v>
      </c>
      <c r="D205" s="37">
        <v>7901671.3999999994</v>
      </c>
      <c r="E205" s="38">
        <v>4893737.3607702572</v>
      </c>
      <c r="F205" s="39">
        <v>0.61932939412922916</v>
      </c>
      <c r="G205" s="40">
        <v>0.26927847189393372</v>
      </c>
      <c r="H205" s="41">
        <v>0.90082284694096193</v>
      </c>
      <c r="I205" s="42">
        <v>3</v>
      </c>
      <c r="J205" s="43">
        <v>0.14000000000000001</v>
      </c>
      <c r="K205" s="51" t="str">
        <f t="shared" si="24"/>
        <v>High Revenue</v>
      </c>
      <c r="L205" s="51" t="str">
        <f t="shared" si="25"/>
        <v>High Profit</v>
      </c>
      <c r="M205" s="53" t="str">
        <f t="shared" si="26"/>
        <v>Strategic Gold</v>
      </c>
      <c r="N205" s="56" t="str">
        <f t="shared" si="27"/>
        <v>Low Cost</v>
      </c>
      <c r="O205" s="33">
        <f t="shared" si="28"/>
        <v>0.5</v>
      </c>
      <c r="P205" s="57">
        <v>0.14000000000000001</v>
      </c>
      <c r="Q205" s="48">
        <f t="shared" si="29"/>
        <v>9.917715305903807E-2</v>
      </c>
      <c r="R205" s="60">
        <f t="shared" si="30"/>
        <v>0.27175314591771144</v>
      </c>
      <c r="S205" s="61" t="str">
        <f t="shared" si="31"/>
        <v>Low Risk</v>
      </c>
    </row>
    <row r="206" spans="1:19" ht="15.6" x14ac:dyDescent="0.3">
      <c r="A206" s="36" t="s">
        <v>211</v>
      </c>
      <c r="B206" s="36" t="s">
        <v>476</v>
      </c>
      <c r="C206" s="36" t="s">
        <v>258</v>
      </c>
      <c r="D206" s="37">
        <v>180265.62</v>
      </c>
      <c r="E206" s="38">
        <v>50711.798851132815</v>
      </c>
      <c r="F206" s="39">
        <v>0.28131708559365237</v>
      </c>
      <c r="G206" s="40">
        <v>0.56344631882662932</v>
      </c>
      <c r="H206" s="41">
        <v>0.72771396421824153</v>
      </c>
      <c r="I206" s="42">
        <v>5</v>
      </c>
      <c r="J206" s="43">
        <v>7.0000000000000007E-2</v>
      </c>
      <c r="K206" s="51" t="str">
        <f t="shared" si="24"/>
        <v>Low Revenue</v>
      </c>
      <c r="L206" s="51" t="str">
        <f t="shared" si="25"/>
        <v>High Profit</v>
      </c>
      <c r="M206" s="53" t="str">
        <f t="shared" si="26"/>
        <v>Hidden Gems</v>
      </c>
      <c r="N206" s="56" t="str">
        <f t="shared" si="27"/>
        <v>Medium Cost</v>
      </c>
      <c r="O206" s="33">
        <f t="shared" si="28"/>
        <v>0.83333333333333337</v>
      </c>
      <c r="P206" s="57">
        <v>7.0000000000000007E-2</v>
      </c>
      <c r="Q206" s="48">
        <f t="shared" si="29"/>
        <v>0.27228603578175847</v>
      </c>
      <c r="R206" s="60">
        <f t="shared" si="30"/>
        <v>0.43601914406786091</v>
      </c>
      <c r="S206" s="61" t="str">
        <f t="shared" si="31"/>
        <v>Medium Risk</v>
      </c>
    </row>
    <row r="207" spans="1:19" ht="15.6" x14ac:dyDescent="0.3">
      <c r="A207" s="36" t="s">
        <v>212</v>
      </c>
      <c r="B207" s="36" t="s">
        <v>477</v>
      </c>
      <c r="C207" s="36" t="s">
        <v>258</v>
      </c>
      <c r="D207" s="37">
        <v>184255.31999999998</v>
      </c>
      <c r="E207" s="38">
        <v>377.6058249369089</v>
      </c>
      <c r="F207" s="39">
        <v>2.0493618579746245E-3</v>
      </c>
      <c r="G207" s="40">
        <v>0.7970461856949369</v>
      </c>
      <c r="H207" s="41">
        <v>0.67929974496037715</v>
      </c>
      <c r="I207" s="42">
        <v>3</v>
      </c>
      <c r="J207" s="43">
        <v>7.0000000000000007E-2</v>
      </c>
      <c r="K207" s="51" t="str">
        <f t="shared" si="24"/>
        <v>Low Revenue</v>
      </c>
      <c r="L207" s="51" t="str">
        <f t="shared" si="25"/>
        <v>Low Profit</v>
      </c>
      <c r="M207" s="53" t="str">
        <f t="shared" si="26"/>
        <v>Value Destroyers</v>
      </c>
      <c r="N207" s="56" t="str">
        <f t="shared" si="27"/>
        <v>High Cost</v>
      </c>
      <c r="O207" s="33">
        <f t="shared" si="28"/>
        <v>0.5</v>
      </c>
      <c r="P207" s="57">
        <v>7.0000000000000007E-2</v>
      </c>
      <c r="Q207" s="48">
        <f t="shared" si="29"/>
        <v>0.32070025503962285</v>
      </c>
      <c r="R207" s="60">
        <f t="shared" si="30"/>
        <v>0.31721007651188687</v>
      </c>
      <c r="S207" s="61" t="str">
        <f t="shared" si="31"/>
        <v>Low Risk</v>
      </c>
    </row>
    <row r="208" spans="1:19" ht="15.6" x14ac:dyDescent="0.3">
      <c r="A208" s="36" t="s">
        <v>213</v>
      </c>
      <c r="B208" s="36" t="s">
        <v>478</v>
      </c>
      <c r="C208" s="36" t="s">
        <v>259</v>
      </c>
      <c r="D208" s="37">
        <v>693035.1</v>
      </c>
      <c r="E208" s="38">
        <v>349535.88131038856</v>
      </c>
      <c r="F208" s="39">
        <v>0.50435523584647957</v>
      </c>
      <c r="G208" s="40">
        <v>0.35640330482539773</v>
      </c>
      <c r="H208" s="41">
        <v>0.77767664896991517</v>
      </c>
      <c r="I208" s="42">
        <v>0</v>
      </c>
      <c r="J208" s="43">
        <v>0.1</v>
      </c>
      <c r="K208" s="51" t="str">
        <f t="shared" si="24"/>
        <v>High Revenue</v>
      </c>
      <c r="L208" s="51" t="str">
        <f t="shared" si="25"/>
        <v>High Profit</v>
      </c>
      <c r="M208" s="53" t="str">
        <f t="shared" si="26"/>
        <v>Strategic Gold</v>
      </c>
      <c r="N208" s="56" t="str">
        <f t="shared" si="27"/>
        <v>Low Cost</v>
      </c>
      <c r="O208" s="33">
        <f t="shared" si="28"/>
        <v>0</v>
      </c>
      <c r="P208" s="57">
        <v>0.1</v>
      </c>
      <c r="Q208" s="48">
        <f t="shared" si="29"/>
        <v>0.22232335103008483</v>
      </c>
      <c r="R208" s="60">
        <f t="shared" si="30"/>
        <v>9.6697005309025447E-2</v>
      </c>
      <c r="S208" s="61" t="str">
        <f t="shared" si="31"/>
        <v>Low Risk</v>
      </c>
    </row>
    <row r="209" spans="1:19" ht="15.6" x14ac:dyDescent="0.3">
      <c r="A209" s="36" t="s">
        <v>214</v>
      </c>
      <c r="B209" s="36" t="s">
        <v>479</v>
      </c>
      <c r="C209" s="36" t="s">
        <v>260</v>
      </c>
      <c r="D209" s="37">
        <v>2391199.8299999996</v>
      </c>
      <c r="E209" s="38">
        <v>597006.04136160237</v>
      </c>
      <c r="F209" s="39">
        <v>0.24966798419419528</v>
      </c>
      <c r="G209" s="40">
        <v>0.58001844203878195</v>
      </c>
      <c r="H209" s="41">
        <v>0.79883852106766962</v>
      </c>
      <c r="I209" s="42">
        <v>3</v>
      </c>
      <c r="J209" s="43">
        <v>0.31</v>
      </c>
      <c r="K209" s="51" t="str">
        <f t="shared" si="24"/>
        <v>High Revenue</v>
      </c>
      <c r="L209" s="51" t="str">
        <f t="shared" si="25"/>
        <v>Low Profit</v>
      </c>
      <c r="M209" s="53" t="str">
        <f t="shared" si="26"/>
        <v>Margin Diluters</v>
      </c>
      <c r="N209" s="56" t="str">
        <f t="shared" si="27"/>
        <v>Medium Cost</v>
      </c>
      <c r="O209" s="33">
        <f t="shared" si="28"/>
        <v>0.5</v>
      </c>
      <c r="P209" s="57">
        <v>0.31</v>
      </c>
      <c r="Q209" s="48">
        <f t="shared" si="29"/>
        <v>0.20116147893233038</v>
      </c>
      <c r="R209" s="60">
        <f t="shared" si="30"/>
        <v>0.35334844367969914</v>
      </c>
      <c r="S209" s="61" t="str">
        <f t="shared" si="31"/>
        <v>Medium Risk</v>
      </c>
    </row>
    <row r="210" spans="1:19" ht="15.6" x14ac:dyDescent="0.3">
      <c r="A210" s="36" t="s">
        <v>215</v>
      </c>
      <c r="B210" s="36" t="s">
        <v>480</v>
      </c>
      <c r="C210" s="36" t="s">
        <v>259</v>
      </c>
      <c r="D210" s="37">
        <v>1351824.32</v>
      </c>
      <c r="E210" s="38">
        <v>644145.11469257495</v>
      </c>
      <c r="F210" s="39">
        <v>0.47650061118339321</v>
      </c>
      <c r="G210" s="40">
        <v>0.37712000920356276</v>
      </c>
      <c r="H210" s="41">
        <v>0.8865717922248566</v>
      </c>
      <c r="I210" s="42">
        <v>2</v>
      </c>
      <c r="J210" s="43">
        <v>0.12</v>
      </c>
      <c r="K210" s="51" t="str">
        <f t="shared" si="24"/>
        <v>High Revenue</v>
      </c>
      <c r="L210" s="51" t="str">
        <f t="shared" si="25"/>
        <v>High Profit</v>
      </c>
      <c r="M210" s="53" t="str">
        <f t="shared" si="26"/>
        <v>Strategic Gold</v>
      </c>
      <c r="N210" s="56" t="str">
        <f t="shared" si="27"/>
        <v>Low Cost</v>
      </c>
      <c r="O210" s="33">
        <f t="shared" si="28"/>
        <v>0.33333333333333331</v>
      </c>
      <c r="P210" s="57">
        <v>0.12</v>
      </c>
      <c r="Q210" s="48">
        <f t="shared" si="29"/>
        <v>0.1134282077751434</v>
      </c>
      <c r="R210" s="60">
        <f t="shared" si="30"/>
        <v>0.20336179566587637</v>
      </c>
      <c r="S210" s="61" t="str">
        <f t="shared" si="31"/>
        <v>Low Risk</v>
      </c>
    </row>
    <row r="211" spans="1:19" ht="15.6" x14ac:dyDescent="0.3">
      <c r="A211" s="36" t="s">
        <v>216</v>
      </c>
      <c r="B211" s="36" t="s">
        <v>481</v>
      </c>
      <c r="C211" s="36" t="s">
        <v>258</v>
      </c>
      <c r="D211" s="37">
        <v>236084.31</v>
      </c>
      <c r="E211" s="38">
        <v>88441.493979387</v>
      </c>
      <c r="F211" s="39">
        <v>0.37461826234613815</v>
      </c>
      <c r="G211" s="40">
        <v>0.48338663420707628</v>
      </c>
      <c r="H211" s="41">
        <v>0.66686451299845884</v>
      </c>
      <c r="I211" s="42">
        <v>0</v>
      </c>
      <c r="J211" s="43">
        <v>0.01</v>
      </c>
      <c r="K211" s="51" t="str">
        <f t="shared" si="24"/>
        <v>Low Revenue</v>
      </c>
      <c r="L211" s="51" t="str">
        <f t="shared" si="25"/>
        <v>High Profit</v>
      </c>
      <c r="M211" s="53" t="str">
        <f t="shared" si="26"/>
        <v>Hidden Gems</v>
      </c>
      <c r="N211" s="56" t="str">
        <f t="shared" si="27"/>
        <v>Medium Cost</v>
      </c>
      <c r="O211" s="33">
        <f t="shared" si="28"/>
        <v>0</v>
      </c>
      <c r="P211" s="57">
        <v>0.01</v>
      </c>
      <c r="Q211" s="48">
        <f t="shared" si="29"/>
        <v>0.33313548700154116</v>
      </c>
      <c r="R211" s="60">
        <f t="shared" si="30"/>
        <v>0.10294064610046234</v>
      </c>
      <c r="S211" s="61" t="str">
        <f t="shared" si="31"/>
        <v>Low Risk</v>
      </c>
    </row>
    <row r="212" spans="1:19" ht="15.6" x14ac:dyDescent="0.3">
      <c r="A212" s="36" t="s">
        <v>217</v>
      </c>
      <c r="B212" s="36" t="s">
        <v>482</v>
      </c>
      <c r="C212" s="36" t="s">
        <v>258</v>
      </c>
      <c r="D212" s="37">
        <v>217707.77</v>
      </c>
      <c r="E212" s="38">
        <v>-12238.841772561267</v>
      </c>
      <c r="F212" s="39">
        <v>-5.6216834946043806E-2</v>
      </c>
      <c r="G212" s="40">
        <v>0.8759907834249554</v>
      </c>
      <c r="H212" s="41">
        <v>0.73222702936216233</v>
      </c>
      <c r="I212" s="42">
        <v>3</v>
      </c>
      <c r="J212" s="43">
        <v>0.03</v>
      </c>
      <c r="K212" s="51" t="str">
        <f t="shared" si="24"/>
        <v>Low Revenue</v>
      </c>
      <c r="L212" s="51" t="str">
        <f t="shared" si="25"/>
        <v>Low Profit</v>
      </c>
      <c r="M212" s="53" t="str">
        <f t="shared" si="26"/>
        <v>Value Destroyers</v>
      </c>
      <c r="N212" s="56" t="str">
        <f t="shared" si="27"/>
        <v>High Cost</v>
      </c>
      <c r="O212" s="33">
        <f t="shared" si="28"/>
        <v>0.5</v>
      </c>
      <c r="P212" s="57">
        <v>0.03</v>
      </c>
      <c r="Q212" s="48">
        <f t="shared" si="29"/>
        <v>0.26777297063783767</v>
      </c>
      <c r="R212" s="60">
        <f t="shared" si="30"/>
        <v>0.28933189119135133</v>
      </c>
      <c r="S212" s="61" t="str">
        <f t="shared" si="31"/>
        <v>Low Risk</v>
      </c>
    </row>
    <row r="213" spans="1:19" ht="15.6" x14ac:dyDescent="0.3">
      <c r="A213" s="36" t="s">
        <v>218</v>
      </c>
      <c r="B213" s="36" t="s">
        <v>483</v>
      </c>
      <c r="C213" s="36" t="s">
        <v>258</v>
      </c>
      <c r="D213" s="37">
        <v>246589.25999999998</v>
      </c>
      <c r="E213" s="38">
        <v>20792.603831786953</v>
      </c>
      <c r="F213" s="39">
        <v>8.4320800637412013E-2</v>
      </c>
      <c r="G213" s="40">
        <v>0.73965102940817462</v>
      </c>
      <c r="H213" s="41">
        <v>0.5546105129127491</v>
      </c>
      <c r="I213" s="42">
        <v>3</v>
      </c>
      <c r="J213" s="43">
        <v>0.06</v>
      </c>
      <c r="K213" s="51" t="str">
        <f t="shared" si="24"/>
        <v>Low Revenue</v>
      </c>
      <c r="L213" s="51" t="str">
        <f t="shared" si="25"/>
        <v>Low Profit</v>
      </c>
      <c r="M213" s="53" t="str">
        <f t="shared" si="26"/>
        <v>Value Destroyers</v>
      </c>
      <c r="N213" s="56" t="str">
        <f t="shared" si="27"/>
        <v>High Cost</v>
      </c>
      <c r="O213" s="33">
        <f t="shared" si="28"/>
        <v>0.5</v>
      </c>
      <c r="P213" s="57">
        <v>0.06</v>
      </c>
      <c r="Q213" s="48">
        <f t="shared" si="29"/>
        <v>0.4453894870872509</v>
      </c>
      <c r="R213" s="60">
        <f t="shared" si="30"/>
        <v>0.35161684612617528</v>
      </c>
      <c r="S213" s="61" t="str">
        <f t="shared" si="31"/>
        <v>Medium Risk</v>
      </c>
    </row>
    <row r="214" spans="1:19" ht="15.6" x14ac:dyDescent="0.3">
      <c r="A214" s="36" t="s">
        <v>219</v>
      </c>
      <c r="B214" s="36" t="s">
        <v>484</v>
      </c>
      <c r="C214" s="36" t="s">
        <v>260</v>
      </c>
      <c r="D214" s="37">
        <v>4772767.2</v>
      </c>
      <c r="E214" s="38">
        <v>1338264.6825816592</v>
      </c>
      <c r="F214" s="39">
        <v>0.28039596873311967</v>
      </c>
      <c r="G214" s="40">
        <v>0.53009918438929937</v>
      </c>
      <c r="H214" s="41">
        <v>0.7524176519829564</v>
      </c>
      <c r="I214" s="42">
        <v>3</v>
      </c>
      <c r="J214" s="43">
        <v>0.2</v>
      </c>
      <c r="K214" s="51" t="str">
        <f t="shared" si="24"/>
        <v>High Revenue</v>
      </c>
      <c r="L214" s="51" t="str">
        <f t="shared" si="25"/>
        <v>High Profit</v>
      </c>
      <c r="M214" s="53" t="str">
        <f t="shared" si="26"/>
        <v>Strategic Gold</v>
      </c>
      <c r="N214" s="56" t="str">
        <f t="shared" si="27"/>
        <v>Medium Cost</v>
      </c>
      <c r="O214" s="33">
        <f t="shared" si="28"/>
        <v>0.5</v>
      </c>
      <c r="P214" s="57">
        <v>0.2</v>
      </c>
      <c r="Q214" s="48">
        <f t="shared" si="29"/>
        <v>0.2475823480170436</v>
      </c>
      <c r="R214" s="60">
        <f t="shared" si="30"/>
        <v>0.33427470440511309</v>
      </c>
      <c r="S214" s="61" t="str">
        <f t="shared" si="31"/>
        <v>Low Risk</v>
      </c>
    </row>
    <row r="215" spans="1:19" ht="15.6" x14ac:dyDescent="0.3">
      <c r="A215" s="36" t="s">
        <v>220</v>
      </c>
      <c r="B215" s="36" t="s">
        <v>485</v>
      </c>
      <c r="C215" s="36" t="s">
        <v>258</v>
      </c>
      <c r="D215" s="37">
        <v>317650.8</v>
      </c>
      <c r="E215" s="38">
        <v>67821.390445487617</v>
      </c>
      <c r="F215" s="39">
        <v>0.21350927007105797</v>
      </c>
      <c r="G215" s="40">
        <v>0.64725163607332326</v>
      </c>
      <c r="H215" s="41">
        <v>0.63697808106537968</v>
      </c>
      <c r="I215" s="42">
        <v>5</v>
      </c>
      <c r="J215" s="43">
        <v>7.0000000000000007E-2</v>
      </c>
      <c r="K215" s="51" t="str">
        <f t="shared" si="24"/>
        <v>Low Revenue</v>
      </c>
      <c r="L215" s="51" t="str">
        <f t="shared" si="25"/>
        <v>Low Profit</v>
      </c>
      <c r="M215" s="53" t="str">
        <f t="shared" si="26"/>
        <v>Value Destroyers</v>
      </c>
      <c r="N215" s="56" t="str">
        <f t="shared" si="27"/>
        <v>Medium Cost</v>
      </c>
      <c r="O215" s="33">
        <f t="shared" si="28"/>
        <v>0.83333333333333337</v>
      </c>
      <c r="P215" s="57">
        <v>7.0000000000000007E-2</v>
      </c>
      <c r="Q215" s="48">
        <f t="shared" si="29"/>
        <v>0.36302191893462032</v>
      </c>
      <c r="R215" s="60">
        <f t="shared" si="30"/>
        <v>0.46323990901371948</v>
      </c>
      <c r="S215" s="61" t="str">
        <f t="shared" si="31"/>
        <v>Medium Risk</v>
      </c>
    </row>
    <row r="216" spans="1:19" ht="15.6" x14ac:dyDescent="0.3">
      <c r="A216" s="36" t="s">
        <v>221</v>
      </c>
      <c r="B216" s="36" t="s">
        <v>486</v>
      </c>
      <c r="C216" s="36" t="s">
        <v>260</v>
      </c>
      <c r="D216" s="37">
        <v>3819528.9999999995</v>
      </c>
      <c r="E216" s="38">
        <v>1823726.2006342767</v>
      </c>
      <c r="F216" s="39">
        <v>0.47747410757564007</v>
      </c>
      <c r="G216" s="40">
        <v>0.36854805919787498</v>
      </c>
      <c r="H216" s="41">
        <v>0.82466249473121056</v>
      </c>
      <c r="I216" s="42">
        <v>0</v>
      </c>
      <c r="J216" s="43">
        <v>0.3</v>
      </c>
      <c r="K216" s="51" t="str">
        <f t="shared" si="24"/>
        <v>High Revenue</v>
      </c>
      <c r="L216" s="51" t="str">
        <f t="shared" si="25"/>
        <v>High Profit</v>
      </c>
      <c r="M216" s="53" t="str">
        <f t="shared" si="26"/>
        <v>Strategic Gold</v>
      </c>
      <c r="N216" s="56" t="str">
        <f t="shared" si="27"/>
        <v>Low Cost</v>
      </c>
      <c r="O216" s="33">
        <f t="shared" si="28"/>
        <v>0</v>
      </c>
      <c r="P216" s="57">
        <v>0.3</v>
      </c>
      <c r="Q216" s="48">
        <f t="shared" si="29"/>
        <v>0.17533750526878944</v>
      </c>
      <c r="R216" s="60">
        <f t="shared" si="30"/>
        <v>0.14260125158063683</v>
      </c>
      <c r="S216" s="61" t="str">
        <f t="shared" si="31"/>
        <v>Low Risk</v>
      </c>
    </row>
    <row r="217" spans="1:19" ht="15.6" x14ac:dyDescent="0.3">
      <c r="A217" s="36" t="s">
        <v>222</v>
      </c>
      <c r="B217" s="36" t="s">
        <v>487</v>
      </c>
      <c r="C217" s="36" t="s">
        <v>259</v>
      </c>
      <c r="D217" s="37">
        <v>1639073.7</v>
      </c>
      <c r="E217" s="38">
        <v>861985.23145412991</v>
      </c>
      <c r="F217" s="39">
        <v>0.5258977869354684</v>
      </c>
      <c r="G217" s="40">
        <v>0.35316288706236942</v>
      </c>
      <c r="H217" s="41">
        <v>0.86525159842549759</v>
      </c>
      <c r="I217" s="42">
        <v>0</v>
      </c>
      <c r="J217" s="43">
        <v>0.01</v>
      </c>
      <c r="K217" s="51" t="str">
        <f t="shared" si="24"/>
        <v>High Revenue</v>
      </c>
      <c r="L217" s="51" t="str">
        <f t="shared" si="25"/>
        <v>High Profit</v>
      </c>
      <c r="M217" s="53" t="str">
        <f t="shared" si="26"/>
        <v>Strategic Gold</v>
      </c>
      <c r="N217" s="56" t="str">
        <f t="shared" si="27"/>
        <v>Low Cost</v>
      </c>
      <c r="O217" s="33">
        <f t="shared" si="28"/>
        <v>0</v>
      </c>
      <c r="P217" s="57">
        <v>0.01</v>
      </c>
      <c r="Q217" s="48">
        <f t="shared" si="29"/>
        <v>0.13474840157450241</v>
      </c>
      <c r="R217" s="60">
        <f t="shared" si="30"/>
        <v>4.3424520472350722E-2</v>
      </c>
      <c r="S217" s="61" t="str">
        <f t="shared" si="31"/>
        <v>Low Risk</v>
      </c>
    </row>
    <row r="218" spans="1:19" ht="15.6" x14ac:dyDescent="0.3">
      <c r="A218" s="36" t="s">
        <v>223</v>
      </c>
      <c r="B218" s="36" t="s">
        <v>488</v>
      </c>
      <c r="C218" s="36" t="s">
        <v>258</v>
      </c>
      <c r="D218" s="37">
        <v>492869.44</v>
      </c>
      <c r="E218" s="38">
        <v>308325.74597939278</v>
      </c>
      <c r="F218" s="39">
        <v>0.62557286160690506</v>
      </c>
      <c r="G218" s="40">
        <v>0.26329487987731598</v>
      </c>
      <c r="H218" s="41">
        <v>0.51148077346674137</v>
      </c>
      <c r="I218" s="42">
        <v>3</v>
      </c>
      <c r="J218" s="43">
        <v>0.02</v>
      </c>
      <c r="K218" s="51" t="str">
        <f t="shared" si="24"/>
        <v>Low Revenue</v>
      </c>
      <c r="L218" s="51" t="str">
        <f t="shared" si="25"/>
        <v>High Profit</v>
      </c>
      <c r="M218" s="53" t="str">
        <f t="shared" si="26"/>
        <v>Hidden Gems</v>
      </c>
      <c r="N218" s="56" t="str">
        <f t="shared" si="27"/>
        <v>Low Cost</v>
      </c>
      <c r="O218" s="33">
        <f t="shared" si="28"/>
        <v>0.5</v>
      </c>
      <c r="P218" s="57">
        <v>0.02</v>
      </c>
      <c r="Q218" s="48">
        <f t="shared" si="29"/>
        <v>0.48851922653325863</v>
      </c>
      <c r="R218" s="60">
        <f t="shared" si="30"/>
        <v>0.35255576795997756</v>
      </c>
      <c r="S218" s="61" t="str">
        <f t="shared" si="31"/>
        <v>Medium Risk</v>
      </c>
    </row>
    <row r="219" spans="1:19" ht="15.6" x14ac:dyDescent="0.3">
      <c r="A219" s="36" t="s">
        <v>224</v>
      </c>
      <c r="B219" s="36" t="s">
        <v>489</v>
      </c>
      <c r="C219" s="36" t="s">
        <v>260</v>
      </c>
      <c r="D219" s="37">
        <v>6357989.7000000002</v>
      </c>
      <c r="E219" s="38">
        <v>4028941.9236827944</v>
      </c>
      <c r="F219" s="39">
        <v>0.6336817317717256</v>
      </c>
      <c r="G219" s="40">
        <v>0.23749330704326244</v>
      </c>
      <c r="H219" s="41">
        <v>0.84013649237807753</v>
      </c>
      <c r="I219" s="42">
        <v>5</v>
      </c>
      <c r="J219" s="43">
        <v>0.19</v>
      </c>
      <c r="K219" s="51" t="str">
        <f t="shared" si="24"/>
        <v>High Revenue</v>
      </c>
      <c r="L219" s="51" t="str">
        <f t="shared" si="25"/>
        <v>High Profit</v>
      </c>
      <c r="M219" s="53" t="str">
        <f t="shared" si="26"/>
        <v>Strategic Gold</v>
      </c>
      <c r="N219" s="56" t="str">
        <f t="shared" si="27"/>
        <v>Low Cost</v>
      </c>
      <c r="O219" s="33">
        <f t="shared" si="28"/>
        <v>0.83333333333333337</v>
      </c>
      <c r="P219" s="57">
        <v>0.19</v>
      </c>
      <c r="Q219" s="48">
        <f t="shared" si="29"/>
        <v>0.15986350762192247</v>
      </c>
      <c r="R219" s="60">
        <f t="shared" si="30"/>
        <v>0.43829238561991013</v>
      </c>
      <c r="S219" s="61" t="str">
        <f t="shared" si="31"/>
        <v>Medium Risk</v>
      </c>
    </row>
    <row r="220" spans="1:19" ht="15.6" x14ac:dyDescent="0.3">
      <c r="A220" s="36" t="s">
        <v>225</v>
      </c>
      <c r="B220" s="36" t="s">
        <v>490</v>
      </c>
      <c r="C220" s="36" t="s">
        <v>260</v>
      </c>
      <c r="D220" s="37">
        <v>2984351.7600000002</v>
      </c>
      <c r="E220" s="38">
        <v>1142267.6767383229</v>
      </c>
      <c r="F220" s="39">
        <v>0.38275235917173611</v>
      </c>
      <c r="G220" s="40">
        <v>0.40291161923887953</v>
      </c>
      <c r="H220" s="41">
        <v>0.94587869858083551</v>
      </c>
      <c r="I220" s="42">
        <v>4</v>
      </c>
      <c r="J220" s="43">
        <v>0.22</v>
      </c>
      <c r="K220" s="51" t="str">
        <f t="shared" si="24"/>
        <v>High Revenue</v>
      </c>
      <c r="L220" s="51" t="str">
        <f t="shared" si="25"/>
        <v>High Profit</v>
      </c>
      <c r="M220" s="53" t="str">
        <f t="shared" si="26"/>
        <v>Strategic Gold</v>
      </c>
      <c r="N220" s="56" t="str">
        <f t="shared" si="27"/>
        <v>Medium Cost</v>
      </c>
      <c r="O220" s="33">
        <f t="shared" si="28"/>
        <v>0.66666666666666663</v>
      </c>
      <c r="P220" s="57">
        <v>0.22</v>
      </c>
      <c r="Q220" s="48">
        <f t="shared" si="29"/>
        <v>5.4121301419164491E-2</v>
      </c>
      <c r="R220" s="60">
        <f t="shared" si="30"/>
        <v>0.34890305709241604</v>
      </c>
      <c r="S220" s="61" t="str">
        <f t="shared" si="31"/>
        <v>Low Risk</v>
      </c>
    </row>
    <row r="221" spans="1:19" ht="15.6" x14ac:dyDescent="0.3">
      <c r="A221" s="36" t="s">
        <v>226</v>
      </c>
      <c r="B221" s="36" t="s">
        <v>491</v>
      </c>
      <c r="C221" s="36" t="s">
        <v>260</v>
      </c>
      <c r="D221" s="37">
        <v>7767250.3599999994</v>
      </c>
      <c r="E221" s="38">
        <v>4366070.5395378675</v>
      </c>
      <c r="F221" s="39">
        <v>0.56211276026615264</v>
      </c>
      <c r="G221" s="40">
        <v>0.31923394831835961</v>
      </c>
      <c r="H221" s="41">
        <v>0.82359375994494888</v>
      </c>
      <c r="I221" s="42">
        <v>3</v>
      </c>
      <c r="J221" s="43">
        <v>0.32</v>
      </c>
      <c r="K221" s="51" t="str">
        <f t="shared" si="24"/>
        <v>High Revenue</v>
      </c>
      <c r="L221" s="51" t="str">
        <f t="shared" si="25"/>
        <v>High Profit</v>
      </c>
      <c r="M221" s="53" t="str">
        <f t="shared" si="26"/>
        <v>Strategic Gold</v>
      </c>
      <c r="N221" s="56" t="str">
        <f t="shared" si="27"/>
        <v>Low Cost</v>
      </c>
      <c r="O221" s="33">
        <f t="shared" si="28"/>
        <v>0.5</v>
      </c>
      <c r="P221" s="57">
        <v>0.32</v>
      </c>
      <c r="Q221" s="48">
        <f t="shared" si="29"/>
        <v>0.17640624005505112</v>
      </c>
      <c r="R221" s="60">
        <f t="shared" si="30"/>
        <v>0.34892187201651537</v>
      </c>
      <c r="S221" s="61" t="str">
        <f t="shared" si="31"/>
        <v>Low Risk</v>
      </c>
    </row>
    <row r="222" spans="1:19" ht="15.6" x14ac:dyDescent="0.3">
      <c r="A222" s="36" t="s">
        <v>227</v>
      </c>
      <c r="B222" s="36" t="s">
        <v>492</v>
      </c>
      <c r="C222" s="36" t="s">
        <v>258</v>
      </c>
      <c r="D222" s="37">
        <v>369115.04000000004</v>
      </c>
      <c r="E222" s="38">
        <v>94933.441083863931</v>
      </c>
      <c r="F222" s="39">
        <v>0.25719201548618537</v>
      </c>
      <c r="G222" s="40">
        <v>0.59458427919924361</v>
      </c>
      <c r="H222" s="41">
        <v>0.5741455280381017</v>
      </c>
      <c r="I222" s="42">
        <v>0</v>
      </c>
      <c r="J222" s="43">
        <v>0.08</v>
      </c>
      <c r="K222" s="51" t="str">
        <f t="shared" si="24"/>
        <v>Low Revenue</v>
      </c>
      <c r="L222" s="51" t="str">
        <f t="shared" si="25"/>
        <v>High Profit</v>
      </c>
      <c r="M222" s="53" t="str">
        <f t="shared" si="26"/>
        <v>Hidden Gems</v>
      </c>
      <c r="N222" s="56" t="str">
        <f t="shared" si="27"/>
        <v>Medium Cost</v>
      </c>
      <c r="O222" s="33">
        <f t="shared" si="28"/>
        <v>0</v>
      </c>
      <c r="P222" s="57">
        <v>0.08</v>
      </c>
      <c r="Q222" s="48">
        <f t="shared" si="29"/>
        <v>0.4258544719618983</v>
      </c>
      <c r="R222" s="60">
        <f t="shared" si="30"/>
        <v>0.15175634158856949</v>
      </c>
      <c r="S222" s="61" t="str">
        <f t="shared" si="31"/>
        <v>Low Risk</v>
      </c>
    </row>
    <row r="223" spans="1:19" ht="15.6" x14ac:dyDescent="0.3">
      <c r="A223" s="36" t="s">
        <v>228</v>
      </c>
      <c r="B223" s="36" t="s">
        <v>493</v>
      </c>
      <c r="C223" s="36" t="s">
        <v>259</v>
      </c>
      <c r="D223" s="37">
        <v>1625445.82</v>
      </c>
      <c r="E223" s="38">
        <v>936064.32100737828</v>
      </c>
      <c r="F223" s="39">
        <v>0.57588158860156791</v>
      </c>
      <c r="G223" s="40">
        <v>0.30579918068262651</v>
      </c>
      <c r="H223" s="41">
        <v>0.74580663610395836</v>
      </c>
      <c r="I223" s="42">
        <v>0</v>
      </c>
      <c r="J223" s="43">
        <v>0.18</v>
      </c>
      <c r="K223" s="51" t="str">
        <f t="shared" si="24"/>
        <v>High Revenue</v>
      </c>
      <c r="L223" s="51" t="str">
        <f t="shared" si="25"/>
        <v>High Profit</v>
      </c>
      <c r="M223" s="53" t="str">
        <f t="shared" si="26"/>
        <v>Strategic Gold</v>
      </c>
      <c r="N223" s="56" t="str">
        <f t="shared" si="27"/>
        <v>Low Cost</v>
      </c>
      <c r="O223" s="33">
        <f t="shared" si="28"/>
        <v>0</v>
      </c>
      <c r="P223" s="57">
        <v>0.18</v>
      </c>
      <c r="Q223" s="48">
        <f t="shared" si="29"/>
        <v>0.25419336389604164</v>
      </c>
      <c r="R223" s="60">
        <f t="shared" si="30"/>
        <v>0.1302580091688125</v>
      </c>
      <c r="S223" s="61" t="str">
        <f t="shared" si="31"/>
        <v>Low Risk</v>
      </c>
    </row>
    <row r="224" spans="1:19" ht="15.6" x14ac:dyDescent="0.3">
      <c r="A224" s="36" t="s">
        <v>229</v>
      </c>
      <c r="B224" s="36" t="s">
        <v>494</v>
      </c>
      <c r="C224" s="36" t="s">
        <v>258</v>
      </c>
      <c r="D224" s="37">
        <v>584093</v>
      </c>
      <c r="E224" s="38">
        <v>307184.76115815266</v>
      </c>
      <c r="F224" s="39">
        <v>0.52591755278380781</v>
      </c>
      <c r="G224" s="40">
        <v>0.35865863826479688</v>
      </c>
      <c r="H224" s="41">
        <v>0.55748200987816621</v>
      </c>
      <c r="I224" s="42">
        <v>4</v>
      </c>
      <c r="J224" s="43">
        <v>0</v>
      </c>
      <c r="K224" s="51" t="str">
        <f t="shared" si="24"/>
        <v>High Revenue</v>
      </c>
      <c r="L224" s="51" t="str">
        <f t="shared" si="25"/>
        <v>High Profit</v>
      </c>
      <c r="M224" s="53" t="str">
        <f t="shared" si="26"/>
        <v>Strategic Gold</v>
      </c>
      <c r="N224" s="56" t="str">
        <f t="shared" si="27"/>
        <v>Low Cost</v>
      </c>
      <c r="O224" s="33">
        <f t="shared" si="28"/>
        <v>0.66666666666666663</v>
      </c>
      <c r="P224" s="57">
        <v>0</v>
      </c>
      <c r="Q224" s="48">
        <f t="shared" si="29"/>
        <v>0.44251799012183379</v>
      </c>
      <c r="R224" s="60">
        <f t="shared" si="30"/>
        <v>0.39942206370321676</v>
      </c>
      <c r="S224" s="61" t="str">
        <f t="shared" si="31"/>
        <v>Medium Risk</v>
      </c>
    </row>
    <row r="225" spans="1:19" ht="15.6" x14ac:dyDescent="0.3">
      <c r="A225" s="36" t="s">
        <v>230</v>
      </c>
      <c r="B225" s="36" t="s">
        <v>495</v>
      </c>
      <c r="C225" s="36" t="s">
        <v>258</v>
      </c>
      <c r="D225" s="37">
        <v>305136</v>
      </c>
      <c r="E225" s="38">
        <v>75664.181555411807</v>
      </c>
      <c r="F225" s="39">
        <v>0.24796871413209784</v>
      </c>
      <c r="G225" s="40">
        <v>0.60815505217345711</v>
      </c>
      <c r="H225" s="41">
        <v>0.57307072386021751</v>
      </c>
      <c r="I225" s="42">
        <v>2</v>
      </c>
      <c r="J225" s="43">
        <v>0.1</v>
      </c>
      <c r="K225" s="51" t="str">
        <f t="shared" si="24"/>
        <v>Low Revenue</v>
      </c>
      <c r="L225" s="51" t="str">
        <f t="shared" si="25"/>
        <v>Low Profit</v>
      </c>
      <c r="M225" s="53" t="str">
        <f t="shared" si="26"/>
        <v>Value Destroyers</v>
      </c>
      <c r="N225" s="56" t="str">
        <f t="shared" si="27"/>
        <v>Medium Cost</v>
      </c>
      <c r="O225" s="33">
        <f t="shared" si="28"/>
        <v>0.33333333333333331</v>
      </c>
      <c r="P225" s="57">
        <v>0.1</v>
      </c>
      <c r="Q225" s="48">
        <f t="shared" si="29"/>
        <v>0.42692927613978249</v>
      </c>
      <c r="R225" s="60">
        <f t="shared" si="30"/>
        <v>0.29141211617526808</v>
      </c>
      <c r="S225" s="61" t="str">
        <f t="shared" si="31"/>
        <v>Low Risk</v>
      </c>
    </row>
    <row r="226" spans="1:19" ht="15.6" x14ac:dyDescent="0.3">
      <c r="A226" s="36" t="s">
        <v>231</v>
      </c>
      <c r="B226" s="36" t="s">
        <v>496</v>
      </c>
      <c r="C226" s="36" t="s">
        <v>259</v>
      </c>
      <c r="D226" s="37">
        <v>1665479.28</v>
      </c>
      <c r="E226" s="38">
        <v>919928.91563512012</v>
      </c>
      <c r="F226" s="39">
        <v>0.55235086181025328</v>
      </c>
      <c r="G226" s="40">
        <v>0.32496351440649562</v>
      </c>
      <c r="H226" s="41">
        <v>0.77192677379316044</v>
      </c>
      <c r="I226" s="42">
        <v>4</v>
      </c>
      <c r="J226" s="43">
        <v>0.13</v>
      </c>
      <c r="K226" s="51" t="str">
        <f t="shared" si="24"/>
        <v>High Revenue</v>
      </c>
      <c r="L226" s="51" t="str">
        <f t="shared" si="25"/>
        <v>High Profit</v>
      </c>
      <c r="M226" s="53" t="str">
        <f t="shared" si="26"/>
        <v>Strategic Gold</v>
      </c>
      <c r="N226" s="56" t="str">
        <f t="shared" si="27"/>
        <v>Low Cost</v>
      </c>
      <c r="O226" s="33">
        <f t="shared" si="28"/>
        <v>0.66666666666666663</v>
      </c>
      <c r="P226" s="57">
        <v>0.13</v>
      </c>
      <c r="Q226" s="48">
        <f t="shared" si="29"/>
        <v>0.22807322620683956</v>
      </c>
      <c r="R226" s="60">
        <f t="shared" si="30"/>
        <v>0.37408863452871849</v>
      </c>
      <c r="S226" s="61" t="str">
        <f t="shared" si="31"/>
        <v>Medium Risk</v>
      </c>
    </row>
    <row r="227" spans="1:19" ht="15.6" x14ac:dyDescent="0.3">
      <c r="A227" s="36" t="s">
        <v>232</v>
      </c>
      <c r="B227" s="36" t="s">
        <v>497</v>
      </c>
      <c r="C227" s="36" t="s">
        <v>260</v>
      </c>
      <c r="D227" s="37">
        <v>3904866.99</v>
      </c>
      <c r="E227" s="38">
        <v>1375744.8701082543</v>
      </c>
      <c r="F227" s="39">
        <v>0.35231542422095513</v>
      </c>
      <c r="G227" s="40">
        <v>0.4763824234638015</v>
      </c>
      <c r="H227" s="41">
        <v>0.76466833828297343</v>
      </c>
      <c r="I227" s="42">
        <v>4</v>
      </c>
      <c r="J227" s="43">
        <v>0.11</v>
      </c>
      <c r="K227" s="51" t="str">
        <f t="shared" si="24"/>
        <v>High Revenue</v>
      </c>
      <c r="L227" s="51" t="str">
        <f t="shared" si="25"/>
        <v>High Profit</v>
      </c>
      <c r="M227" s="53" t="str">
        <f t="shared" si="26"/>
        <v>Strategic Gold</v>
      </c>
      <c r="N227" s="56" t="str">
        <f t="shared" si="27"/>
        <v>Medium Cost</v>
      </c>
      <c r="O227" s="33">
        <f t="shared" si="28"/>
        <v>0.66666666666666663</v>
      </c>
      <c r="P227" s="57">
        <v>0.11</v>
      </c>
      <c r="Q227" s="48">
        <f t="shared" si="29"/>
        <v>0.23533166171702657</v>
      </c>
      <c r="R227" s="60">
        <f t="shared" si="30"/>
        <v>0.37026616518177458</v>
      </c>
      <c r="S227" s="61" t="str">
        <f t="shared" si="31"/>
        <v>Medium Risk</v>
      </c>
    </row>
    <row r="228" spans="1:19" ht="15.6" x14ac:dyDescent="0.3">
      <c r="A228" s="36" t="s">
        <v>233</v>
      </c>
      <c r="B228" s="36" t="s">
        <v>498</v>
      </c>
      <c r="C228" s="36" t="s">
        <v>260</v>
      </c>
      <c r="D228" s="37">
        <v>4034129.51</v>
      </c>
      <c r="E228" s="38">
        <v>1018624.8675672674</v>
      </c>
      <c r="F228" s="39">
        <v>0.25250177641601484</v>
      </c>
      <c r="G228" s="40">
        <v>0.57534593132088119</v>
      </c>
      <c r="H228" s="41">
        <v>0.87748085366975459</v>
      </c>
      <c r="I228" s="42">
        <v>6</v>
      </c>
      <c r="J228" s="43">
        <v>0.17</v>
      </c>
      <c r="K228" s="51" t="str">
        <f t="shared" si="24"/>
        <v>High Revenue</v>
      </c>
      <c r="L228" s="51" t="str">
        <f t="shared" si="25"/>
        <v>High Profit</v>
      </c>
      <c r="M228" s="53" t="str">
        <f t="shared" si="26"/>
        <v>Strategic Gold</v>
      </c>
      <c r="N228" s="56" t="str">
        <f t="shared" si="27"/>
        <v>Medium Cost</v>
      </c>
      <c r="O228" s="33">
        <f t="shared" si="28"/>
        <v>1</v>
      </c>
      <c r="P228" s="57">
        <v>0.17</v>
      </c>
      <c r="Q228" s="48">
        <f t="shared" si="29"/>
        <v>0.12251914633024541</v>
      </c>
      <c r="R228" s="60">
        <f t="shared" si="30"/>
        <v>0.48775574389907361</v>
      </c>
      <c r="S228" s="61" t="str">
        <f t="shared" si="31"/>
        <v>Medium Risk</v>
      </c>
    </row>
    <row r="229" spans="1:19" ht="15.6" x14ac:dyDescent="0.3">
      <c r="A229" s="36" t="s">
        <v>234</v>
      </c>
      <c r="B229" s="36" t="s">
        <v>499</v>
      </c>
      <c r="C229" s="36" t="s">
        <v>258</v>
      </c>
      <c r="D229" s="37">
        <v>271595.96000000002</v>
      </c>
      <c r="E229" s="38">
        <v>34162.839659046469</v>
      </c>
      <c r="F229" s="39">
        <v>0.12578552221117895</v>
      </c>
      <c r="G229" s="40">
        <v>0.73392107894388414</v>
      </c>
      <c r="H229" s="41">
        <v>0.75636102320707232</v>
      </c>
      <c r="I229" s="42">
        <v>4</v>
      </c>
      <c r="J229" s="43">
        <v>0.08</v>
      </c>
      <c r="K229" s="51" t="str">
        <f t="shared" si="24"/>
        <v>Low Revenue</v>
      </c>
      <c r="L229" s="51" t="str">
        <f t="shared" si="25"/>
        <v>Low Profit</v>
      </c>
      <c r="M229" s="53" t="str">
        <f t="shared" si="26"/>
        <v>Value Destroyers</v>
      </c>
      <c r="N229" s="56" t="str">
        <f t="shared" si="27"/>
        <v>High Cost</v>
      </c>
      <c r="O229" s="33">
        <f t="shared" si="28"/>
        <v>0.66666666666666663</v>
      </c>
      <c r="P229" s="57">
        <v>0.08</v>
      </c>
      <c r="Q229" s="48">
        <f t="shared" si="29"/>
        <v>0.24363897679292768</v>
      </c>
      <c r="R229" s="60">
        <f t="shared" si="30"/>
        <v>0.36375835970454495</v>
      </c>
      <c r="S229" s="61" t="str">
        <f t="shared" si="31"/>
        <v>Medium Risk</v>
      </c>
    </row>
    <row r="230" spans="1:19" ht="15.6" x14ac:dyDescent="0.3">
      <c r="A230" s="36" t="s">
        <v>235</v>
      </c>
      <c r="B230" s="36" t="s">
        <v>500</v>
      </c>
      <c r="C230" s="36" t="s">
        <v>258</v>
      </c>
      <c r="D230" s="37">
        <v>394197.21</v>
      </c>
      <c r="E230" s="38">
        <v>149238.85761802125</v>
      </c>
      <c r="F230" s="39">
        <v>0.37858932999049194</v>
      </c>
      <c r="G230" s="40">
        <v>0.50512787749055854</v>
      </c>
      <c r="H230" s="41">
        <v>0.5019082862912313</v>
      </c>
      <c r="I230" s="42">
        <v>4</v>
      </c>
      <c r="J230" s="43">
        <v>0.01</v>
      </c>
      <c r="K230" s="51" t="str">
        <f t="shared" si="24"/>
        <v>Low Revenue</v>
      </c>
      <c r="L230" s="51" t="str">
        <f t="shared" si="25"/>
        <v>High Profit</v>
      </c>
      <c r="M230" s="53" t="str">
        <f t="shared" si="26"/>
        <v>Hidden Gems</v>
      </c>
      <c r="N230" s="56" t="str">
        <f t="shared" si="27"/>
        <v>Medium Cost</v>
      </c>
      <c r="O230" s="33">
        <f t="shared" si="28"/>
        <v>0.66666666666666663</v>
      </c>
      <c r="P230" s="57">
        <v>0.01</v>
      </c>
      <c r="Q230" s="48">
        <f t="shared" si="29"/>
        <v>0.4980917137087687</v>
      </c>
      <c r="R230" s="60">
        <f t="shared" si="30"/>
        <v>0.41909418077929728</v>
      </c>
      <c r="S230" s="61" t="str">
        <f t="shared" si="31"/>
        <v>Medium Risk</v>
      </c>
    </row>
    <row r="231" spans="1:19" ht="15.6" x14ac:dyDescent="0.3">
      <c r="A231" s="36" t="s">
        <v>236</v>
      </c>
      <c r="B231" s="36" t="s">
        <v>501</v>
      </c>
      <c r="C231" s="36" t="s">
        <v>259</v>
      </c>
      <c r="D231" s="37">
        <v>680315.76</v>
      </c>
      <c r="E231" s="38">
        <v>344319.82006124849</v>
      </c>
      <c r="F231" s="39">
        <v>0.50611765933696506</v>
      </c>
      <c r="G231" s="40">
        <v>0.36217006056128992</v>
      </c>
      <c r="H231" s="41">
        <v>0.74076340139135788</v>
      </c>
      <c r="I231" s="42">
        <v>0</v>
      </c>
      <c r="J231" s="43">
        <v>0.19</v>
      </c>
      <c r="K231" s="51" t="str">
        <f t="shared" si="24"/>
        <v>High Revenue</v>
      </c>
      <c r="L231" s="51" t="str">
        <f t="shared" si="25"/>
        <v>High Profit</v>
      </c>
      <c r="M231" s="53" t="str">
        <f t="shared" si="26"/>
        <v>Strategic Gold</v>
      </c>
      <c r="N231" s="56" t="str">
        <f t="shared" si="27"/>
        <v>Low Cost</v>
      </c>
      <c r="O231" s="33">
        <f t="shared" si="28"/>
        <v>0</v>
      </c>
      <c r="P231" s="57">
        <v>0.19</v>
      </c>
      <c r="Q231" s="48">
        <f t="shared" si="29"/>
        <v>0.25923659860864212</v>
      </c>
      <c r="R231" s="60">
        <f t="shared" si="30"/>
        <v>0.13477097958259263</v>
      </c>
      <c r="S231" s="61" t="str">
        <f t="shared" si="31"/>
        <v>Low Risk</v>
      </c>
    </row>
    <row r="232" spans="1:19" ht="15.6" x14ac:dyDescent="0.3">
      <c r="A232" s="36" t="s">
        <v>237</v>
      </c>
      <c r="B232" s="36" t="s">
        <v>502</v>
      </c>
      <c r="C232" s="36" t="s">
        <v>258</v>
      </c>
      <c r="D232" s="37">
        <v>585132</v>
      </c>
      <c r="E232" s="38">
        <v>402664.85765067232</v>
      </c>
      <c r="F232" s="39">
        <v>0.68816071869368334</v>
      </c>
      <c r="G232" s="40">
        <v>0.22145430432791233</v>
      </c>
      <c r="H232" s="41">
        <v>0.60057748438586656</v>
      </c>
      <c r="I232" s="42">
        <v>5</v>
      </c>
      <c r="J232" s="43">
        <v>0</v>
      </c>
      <c r="K232" s="51" t="str">
        <f t="shared" si="24"/>
        <v>High Revenue</v>
      </c>
      <c r="L232" s="51" t="str">
        <f t="shared" si="25"/>
        <v>High Profit</v>
      </c>
      <c r="M232" s="53" t="str">
        <f t="shared" si="26"/>
        <v>Strategic Gold</v>
      </c>
      <c r="N232" s="56" t="str">
        <f t="shared" si="27"/>
        <v>Low Cost</v>
      </c>
      <c r="O232" s="33">
        <f t="shared" si="28"/>
        <v>0.83333333333333337</v>
      </c>
      <c r="P232" s="57">
        <v>0</v>
      </c>
      <c r="Q232" s="48">
        <f t="shared" si="29"/>
        <v>0.39942251561413344</v>
      </c>
      <c r="R232" s="60">
        <f t="shared" si="30"/>
        <v>0.4531600880175734</v>
      </c>
      <c r="S232" s="61" t="str">
        <f t="shared" si="31"/>
        <v>Medium Risk</v>
      </c>
    </row>
    <row r="233" spans="1:19" ht="15.6" x14ac:dyDescent="0.3">
      <c r="A233" s="36" t="s">
        <v>238</v>
      </c>
      <c r="B233" s="36" t="s">
        <v>503</v>
      </c>
      <c r="C233" s="36" t="s">
        <v>258</v>
      </c>
      <c r="D233" s="37">
        <v>422796.6</v>
      </c>
      <c r="E233" s="38">
        <v>292013.63474226603</v>
      </c>
      <c r="F233" s="39">
        <v>0.69067167224681103</v>
      </c>
      <c r="G233" s="40">
        <v>0.20165725079151536</v>
      </c>
      <c r="H233" s="41">
        <v>0.77198179631391994</v>
      </c>
      <c r="I233" s="42">
        <v>3</v>
      </c>
      <c r="J233" s="43">
        <v>7.0000000000000007E-2</v>
      </c>
      <c r="K233" s="51" t="str">
        <f t="shared" si="24"/>
        <v>Low Revenue</v>
      </c>
      <c r="L233" s="51" t="str">
        <f t="shared" si="25"/>
        <v>High Profit</v>
      </c>
      <c r="M233" s="53" t="str">
        <f t="shared" si="26"/>
        <v>Hidden Gems</v>
      </c>
      <c r="N233" s="56" t="str">
        <f t="shared" si="27"/>
        <v>Low Cost</v>
      </c>
      <c r="O233" s="33">
        <f t="shared" si="28"/>
        <v>0.5</v>
      </c>
      <c r="P233" s="57">
        <v>7.0000000000000007E-2</v>
      </c>
      <c r="Q233" s="48">
        <f t="shared" si="29"/>
        <v>0.22801820368608006</v>
      </c>
      <c r="R233" s="60">
        <f t="shared" si="30"/>
        <v>0.28940546110582399</v>
      </c>
      <c r="S233" s="61" t="str">
        <f t="shared" si="31"/>
        <v>Low Risk</v>
      </c>
    </row>
    <row r="234" spans="1:19" ht="15.6" x14ac:dyDescent="0.3">
      <c r="A234" s="36" t="s">
        <v>239</v>
      </c>
      <c r="B234" s="36" t="s">
        <v>504</v>
      </c>
      <c r="C234" s="36" t="s">
        <v>258</v>
      </c>
      <c r="D234" s="37">
        <v>476909.16</v>
      </c>
      <c r="E234" s="38">
        <v>208448.28013734502</v>
      </c>
      <c r="F234" s="39">
        <v>0.43708172880836477</v>
      </c>
      <c r="G234" s="40">
        <v>0.43983218942575986</v>
      </c>
      <c r="H234" s="41">
        <v>0.57763715178490593</v>
      </c>
      <c r="I234" s="42">
        <v>4</v>
      </c>
      <c r="J234" s="43">
        <v>0.02</v>
      </c>
      <c r="K234" s="51" t="str">
        <f t="shared" si="24"/>
        <v>Low Revenue</v>
      </c>
      <c r="L234" s="51" t="str">
        <f t="shared" si="25"/>
        <v>High Profit</v>
      </c>
      <c r="M234" s="53" t="str">
        <f t="shared" si="26"/>
        <v>Hidden Gems</v>
      </c>
      <c r="N234" s="56" t="str">
        <f t="shared" si="27"/>
        <v>Medium Cost</v>
      </c>
      <c r="O234" s="33">
        <f t="shared" si="28"/>
        <v>0.66666666666666663</v>
      </c>
      <c r="P234" s="57">
        <v>0.02</v>
      </c>
      <c r="Q234" s="48">
        <f t="shared" si="29"/>
        <v>0.42236284821509407</v>
      </c>
      <c r="R234" s="60">
        <f t="shared" si="30"/>
        <v>0.3993755211311949</v>
      </c>
      <c r="S234" s="61" t="str">
        <f t="shared" si="31"/>
        <v>Medium Risk</v>
      </c>
    </row>
    <row r="235" spans="1:19" ht="15.6" x14ac:dyDescent="0.3">
      <c r="A235" s="36" t="s">
        <v>240</v>
      </c>
      <c r="B235" s="36" t="s">
        <v>505</v>
      </c>
      <c r="C235" s="36" t="s">
        <v>260</v>
      </c>
      <c r="D235" s="37">
        <v>3459493.36</v>
      </c>
      <c r="E235" s="38">
        <v>323036.95469710173</v>
      </c>
      <c r="F235" s="39">
        <v>9.3376954681335694E-2</v>
      </c>
      <c r="G235" s="40">
        <v>0.6842533728696043</v>
      </c>
      <c r="H235" s="41">
        <v>0.75806897733691747</v>
      </c>
      <c r="I235" s="42">
        <v>6</v>
      </c>
      <c r="J235" s="43">
        <v>0.27</v>
      </c>
      <c r="K235" s="51" t="str">
        <f t="shared" si="24"/>
        <v>High Revenue</v>
      </c>
      <c r="L235" s="51" t="str">
        <f t="shared" si="25"/>
        <v>Low Profit</v>
      </c>
      <c r="M235" s="53" t="str">
        <f t="shared" si="26"/>
        <v>Margin Diluters</v>
      </c>
      <c r="N235" s="56" t="str">
        <f t="shared" si="27"/>
        <v>Medium Cost</v>
      </c>
      <c r="O235" s="33">
        <f t="shared" si="28"/>
        <v>1</v>
      </c>
      <c r="P235" s="57">
        <v>0.27</v>
      </c>
      <c r="Q235" s="48">
        <f t="shared" si="29"/>
        <v>0.24193102266308253</v>
      </c>
      <c r="R235" s="60">
        <f t="shared" si="30"/>
        <v>0.55357930679892475</v>
      </c>
      <c r="S235" s="61" t="str">
        <f t="shared" si="31"/>
        <v>Medium Risk</v>
      </c>
    </row>
    <row r="236" spans="1:19" ht="15.6" x14ac:dyDescent="0.3">
      <c r="A236" s="36" t="s">
        <v>241</v>
      </c>
      <c r="B236" s="36" t="s">
        <v>506</v>
      </c>
      <c r="C236" s="36" t="s">
        <v>258</v>
      </c>
      <c r="D236" s="37">
        <v>340457.27999999997</v>
      </c>
      <c r="E236" s="38">
        <v>76940.814078346273</v>
      </c>
      <c r="F236" s="39">
        <v>0.22599256528850339</v>
      </c>
      <c r="G236" s="40">
        <v>0.62595224869328692</v>
      </c>
      <c r="H236" s="41">
        <v>0.66942766462905801</v>
      </c>
      <c r="I236" s="42">
        <v>2</v>
      </c>
      <c r="J236" s="43">
        <v>0.04</v>
      </c>
      <c r="K236" s="51" t="str">
        <f t="shared" si="24"/>
        <v>Low Revenue</v>
      </c>
      <c r="L236" s="51" t="str">
        <f t="shared" si="25"/>
        <v>Low Profit</v>
      </c>
      <c r="M236" s="53" t="str">
        <f t="shared" si="26"/>
        <v>Value Destroyers</v>
      </c>
      <c r="N236" s="56" t="str">
        <f t="shared" si="27"/>
        <v>Medium Cost</v>
      </c>
      <c r="O236" s="33">
        <f t="shared" si="28"/>
        <v>0.33333333333333331</v>
      </c>
      <c r="P236" s="57">
        <v>0.04</v>
      </c>
      <c r="Q236" s="48">
        <f t="shared" si="29"/>
        <v>0.33057233537094199</v>
      </c>
      <c r="R236" s="60">
        <f t="shared" si="30"/>
        <v>0.24450503394461592</v>
      </c>
      <c r="S236" s="61" t="str">
        <f t="shared" si="31"/>
        <v>Low Risk</v>
      </c>
    </row>
    <row r="237" spans="1:19" ht="15.6" x14ac:dyDescent="0.3">
      <c r="A237" s="36" t="s">
        <v>242</v>
      </c>
      <c r="B237" s="36" t="s">
        <v>507</v>
      </c>
      <c r="C237" s="36" t="s">
        <v>259</v>
      </c>
      <c r="D237" s="37">
        <v>2258746.7999999998</v>
      </c>
      <c r="E237" s="38">
        <v>1565790.3157654791</v>
      </c>
      <c r="F237" s="39">
        <v>0.69321196858606693</v>
      </c>
      <c r="G237" s="40">
        <v>0.20106281943598106</v>
      </c>
      <c r="H237" s="41">
        <v>0.73795706333319788</v>
      </c>
      <c r="I237" s="42">
        <v>0</v>
      </c>
      <c r="J237" s="43">
        <v>7.0000000000000007E-2</v>
      </c>
      <c r="K237" s="51" t="str">
        <f t="shared" si="24"/>
        <v>High Revenue</v>
      </c>
      <c r="L237" s="51" t="str">
        <f t="shared" si="25"/>
        <v>High Profit</v>
      </c>
      <c r="M237" s="53" t="str">
        <f t="shared" si="26"/>
        <v>Strategic Gold</v>
      </c>
      <c r="N237" s="56" t="str">
        <f t="shared" si="27"/>
        <v>Low Cost</v>
      </c>
      <c r="O237" s="33">
        <f t="shared" si="28"/>
        <v>0</v>
      </c>
      <c r="P237" s="57">
        <v>7.0000000000000007E-2</v>
      </c>
      <c r="Q237" s="48">
        <f t="shared" si="29"/>
        <v>0.26204293666680212</v>
      </c>
      <c r="R237" s="60">
        <f t="shared" si="30"/>
        <v>9.9612881000040635E-2</v>
      </c>
      <c r="S237" s="61" t="str">
        <f t="shared" si="31"/>
        <v>Low Risk</v>
      </c>
    </row>
    <row r="238" spans="1:19" ht="15.6" x14ac:dyDescent="0.3">
      <c r="A238" s="36" t="s">
        <v>243</v>
      </c>
      <c r="B238" s="36" t="s">
        <v>508</v>
      </c>
      <c r="C238" s="36" t="s">
        <v>260</v>
      </c>
      <c r="D238" s="37">
        <v>10213183.5</v>
      </c>
      <c r="E238" s="38">
        <v>6634879.0607939325</v>
      </c>
      <c r="F238" s="39">
        <v>0.64963868129794522</v>
      </c>
      <c r="G238" s="40">
        <v>0.24975268485090862</v>
      </c>
      <c r="H238" s="41">
        <v>0.85116534997452253</v>
      </c>
      <c r="I238" s="42">
        <v>1</v>
      </c>
      <c r="J238" s="43">
        <v>0.25</v>
      </c>
      <c r="K238" s="51" t="str">
        <f t="shared" si="24"/>
        <v>High Revenue</v>
      </c>
      <c r="L238" s="51" t="str">
        <f t="shared" si="25"/>
        <v>High Profit</v>
      </c>
      <c r="M238" s="53" t="str">
        <f t="shared" si="26"/>
        <v>Strategic Gold</v>
      </c>
      <c r="N238" s="56" t="str">
        <f t="shared" si="27"/>
        <v>Low Cost</v>
      </c>
      <c r="O238" s="33">
        <f t="shared" si="28"/>
        <v>0.16666666666666666</v>
      </c>
      <c r="P238" s="57">
        <v>0.25</v>
      </c>
      <c r="Q238" s="48">
        <f t="shared" si="29"/>
        <v>0.14883465002547747</v>
      </c>
      <c r="R238" s="60">
        <f t="shared" si="30"/>
        <v>0.18631706167430989</v>
      </c>
      <c r="S238" s="61" t="str">
        <f t="shared" si="31"/>
        <v>Low Risk</v>
      </c>
    </row>
    <row r="239" spans="1:19" ht="15.6" x14ac:dyDescent="0.3">
      <c r="A239" s="36" t="s">
        <v>244</v>
      </c>
      <c r="B239" s="36" t="s">
        <v>509</v>
      </c>
      <c r="C239" s="36" t="s">
        <v>258</v>
      </c>
      <c r="D239" s="37">
        <v>248338.86</v>
      </c>
      <c r="E239" s="38">
        <v>-5264.5974136201039</v>
      </c>
      <c r="F239" s="39">
        <v>-2.1199249338666144E-2</v>
      </c>
      <c r="G239" s="40">
        <v>0.85077301232678615</v>
      </c>
      <c r="H239" s="41">
        <v>0.66828491257765688</v>
      </c>
      <c r="I239" s="42">
        <v>2</v>
      </c>
      <c r="J239" s="43">
        <v>0.02</v>
      </c>
      <c r="K239" s="51" t="str">
        <f t="shared" si="24"/>
        <v>Low Revenue</v>
      </c>
      <c r="L239" s="51" t="str">
        <f t="shared" si="25"/>
        <v>Low Profit</v>
      </c>
      <c r="M239" s="53" t="str">
        <f t="shared" si="26"/>
        <v>Value Destroyers</v>
      </c>
      <c r="N239" s="56" t="str">
        <f t="shared" si="27"/>
        <v>High Cost</v>
      </c>
      <c r="O239" s="33">
        <f t="shared" si="28"/>
        <v>0.33333333333333331</v>
      </c>
      <c r="P239" s="57">
        <v>0.02</v>
      </c>
      <c r="Q239" s="48">
        <f t="shared" si="29"/>
        <v>0.33171508742234312</v>
      </c>
      <c r="R239" s="60">
        <f t="shared" si="30"/>
        <v>0.23884785956003629</v>
      </c>
      <c r="S239" s="61" t="str">
        <f t="shared" si="31"/>
        <v>Low Risk</v>
      </c>
    </row>
    <row r="240" spans="1:19" ht="15.6" x14ac:dyDescent="0.3">
      <c r="A240" s="36" t="s">
        <v>245</v>
      </c>
      <c r="B240" s="36" t="s">
        <v>510</v>
      </c>
      <c r="C240" s="36" t="s">
        <v>258</v>
      </c>
      <c r="D240" s="37">
        <v>189937.44</v>
      </c>
      <c r="E240" s="38">
        <v>55878.068018750404</v>
      </c>
      <c r="F240" s="39">
        <v>0.29419196140976944</v>
      </c>
      <c r="G240" s="40">
        <v>0.56787118958747684</v>
      </c>
      <c r="H240" s="41">
        <v>0.62625820848357994</v>
      </c>
      <c r="I240" s="42">
        <v>1</v>
      </c>
      <c r="J240" s="43">
        <v>0.01</v>
      </c>
      <c r="K240" s="51" t="str">
        <f t="shared" si="24"/>
        <v>Low Revenue</v>
      </c>
      <c r="L240" s="51" t="str">
        <f t="shared" si="25"/>
        <v>High Profit</v>
      </c>
      <c r="M240" s="53" t="str">
        <f t="shared" si="26"/>
        <v>Hidden Gems</v>
      </c>
      <c r="N240" s="56" t="str">
        <f t="shared" si="27"/>
        <v>Medium Cost</v>
      </c>
      <c r="O240" s="33">
        <f t="shared" si="28"/>
        <v>0.16666666666666666</v>
      </c>
      <c r="P240" s="57">
        <v>0.01</v>
      </c>
      <c r="Q240" s="48">
        <f t="shared" si="29"/>
        <v>0.37374179151642006</v>
      </c>
      <c r="R240" s="60">
        <f t="shared" si="30"/>
        <v>0.18178920412159269</v>
      </c>
      <c r="S240" s="61" t="str">
        <f t="shared" si="31"/>
        <v>Low Risk</v>
      </c>
    </row>
    <row r="241" spans="1:19" ht="15.6" x14ac:dyDescent="0.3">
      <c r="A241" s="36" t="s">
        <v>246</v>
      </c>
      <c r="B241" s="36" t="s">
        <v>511</v>
      </c>
      <c r="C241" s="36" t="s">
        <v>258</v>
      </c>
      <c r="D241" s="37">
        <v>467433.45</v>
      </c>
      <c r="E241" s="38">
        <v>230273.3978842457</v>
      </c>
      <c r="F241" s="39">
        <v>0.4926335457683777</v>
      </c>
      <c r="G241" s="40">
        <v>0.39960768746866532</v>
      </c>
      <c r="H241" s="41">
        <v>0.63781251861113986</v>
      </c>
      <c r="I241" s="42">
        <v>4</v>
      </c>
      <c r="J241" s="43">
        <v>0.01</v>
      </c>
      <c r="K241" s="51" t="str">
        <f t="shared" si="24"/>
        <v>Low Revenue</v>
      </c>
      <c r="L241" s="51" t="str">
        <f t="shared" si="25"/>
        <v>High Profit</v>
      </c>
      <c r="M241" s="53" t="str">
        <f t="shared" si="26"/>
        <v>Hidden Gems</v>
      </c>
      <c r="N241" s="56" t="str">
        <f t="shared" si="27"/>
        <v>Low Cost</v>
      </c>
      <c r="O241" s="33">
        <f t="shared" si="28"/>
        <v>0.66666666666666663</v>
      </c>
      <c r="P241" s="57">
        <v>0.01</v>
      </c>
      <c r="Q241" s="48">
        <f t="shared" si="29"/>
        <v>0.36218748138886014</v>
      </c>
      <c r="R241" s="60">
        <f t="shared" si="30"/>
        <v>0.37832291108332472</v>
      </c>
      <c r="S241" s="61" t="str">
        <f t="shared" si="31"/>
        <v>Medium Risk</v>
      </c>
    </row>
    <row r="242" spans="1:19" ht="15.6" x14ac:dyDescent="0.3">
      <c r="A242" s="36" t="s">
        <v>247</v>
      </c>
      <c r="B242" s="36" t="s">
        <v>512</v>
      </c>
      <c r="C242" s="36" t="s">
        <v>258</v>
      </c>
      <c r="D242" s="37">
        <v>110795.40000000001</v>
      </c>
      <c r="E242" s="38">
        <v>-159839.41202205713</v>
      </c>
      <c r="F242" s="39">
        <v>-1.4426538648902132</v>
      </c>
      <c r="G242" s="40">
        <v>2.1025241120118703</v>
      </c>
      <c r="H242" s="41">
        <v>0.58570527945985873</v>
      </c>
      <c r="I242" s="42">
        <v>0</v>
      </c>
      <c r="J242" s="43">
        <v>0.1</v>
      </c>
      <c r="K242" s="51" t="str">
        <f t="shared" si="24"/>
        <v>Low Revenue</v>
      </c>
      <c r="L242" s="51" t="str">
        <f t="shared" si="25"/>
        <v>Low Profit</v>
      </c>
      <c r="M242" s="53" t="str">
        <f t="shared" si="26"/>
        <v>Value Destroyers</v>
      </c>
      <c r="N242" s="56" t="str">
        <f t="shared" si="27"/>
        <v>High Cost</v>
      </c>
      <c r="O242" s="33">
        <f t="shared" si="28"/>
        <v>0</v>
      </c>
      <c r="P242" s="57">
        <v>0.1</v>
      </c>
      <c r="Q242" s="48">
        <f t="shared" si="29"/>
        <v>0.41429472054014127</v>
      </c>
      <c r="R242" s="60">
        <f t="shared" si="30"/>
        <v>0.15428841616204236</v>
      </c>
      <c r="S242" s="61" t="str">
        <f t="shared" si="31"/>
        <v>Low Risk</v>
      </c>
    </row>
    <row r="243" spans="1:19" ht="15.6" x14ac:dyDescent="0.3">
      <c r="A243" s="36" t="s">
        <v>248</v>
      </c>
      <c r="B243" s="36" t="s">
        <v>513</v>
      </c>
      <c r="C243" s="36" t="s">
        <v>258</v>
      </c>
      <c r="D243" s="37">
        <v>515299.36000000004</v>
      </c>
      <c r="E243" s="38">
        <v>314563.98473525012</v>
      </c>
      <c r="F243" s="39">
        <v>0.61044901110540895</v>
      </c>
      <c r="G243" s="40">
        <v>0.29241255025040197</v>
      </c>
      <c r="H243" s="41">
        <v>0.7545830561933341</v>
      </c>
      <c r="I243" s="42">
        <v>3</v>
      </c>
      <c r="J243" s="43">
        <v>0.08</v>
      </c>
      <c r="K243" s="51" t="str">
        <f t="shared" si="24"/>
        <v>Low Revenue</v>
      </c>
      <c r="L243" s="51" t="str">
        <f t="shared" si="25"/>
        <v>High Profit</v>
      </c>
      <c r="M243" s="53" t="str">
        <f t="shared" si="26"/>
        <v>Hidden Gems</v>
      </c>
      <c r="N243" s="56" t="str">
        <f t="shared" si="27"/>
        <v>Low Cost</v>
      </c>
      <c r="O243" s="33">
        <f t="shared" si="28"/>
        <v>0.5</v>
      </c>
      <c r="P243" s="57">
        <v>0.08</v>
      </c>
      <c r="Q243" s="48">
        <f t="shared" si="29"/>
        <v>0.2454169438066659</v>
      </c>
      <c r="R243" s="60">
        <f t="shared" si="30"/>
        <v>0.29762508314199976</v>
      </c>
      <c r="S243" s="61" t="str">
        <f t="shared" si="31"/>
        <v>Low Risk</v>
      </c>
    </row>
    <row r="244" spans="1:19" ht="15.6" x14ac:dyDescent="0.3">
      <c r="A244" s="36" t="s">
        <v>249</v>
      </c>
      <c r="B244" s="36" t="s">
        <v>514</v>
      </c>
      <c r="C244" s="36" t="s">
        <v>259</v>
      </c>
      <c r="D244" s="37">
        <v>845241.01</v>
      </c>
      <c r="E244" s="38">
        <v>24906.853100252367</v>
      </c>
      <c r="F244" s="39">
        <v>2.9467161206780969E-2</v>
      </c>
      <c r="G244" s="40">
        <v>0.75060248200687751</v>
      </c>
      <c r="H244" s="41">
        <v>0.82497229277488326</v>
      </c>
      <c r="I244" s="42">
        <v>2</v>
      </c>
      <c r="J244" s="43">
        <v>0.11</v>
      </c>
      <c r="K244" s="51" t="str">
        <f t="shared" si="24"/>
        <v>Low Revenue</v>
      </c>
      <c r="L244" s="51" t="str">
        <f t="shared" si="25"/>
        <v>Low Profit</v>
      </c>
      <c r="M244" s="53" t="str">
        <f t="shared" si="26"/>
        <v>Value Destroyers</v>
      </c>
      <c r="N244" s="56" t="str">
        <f t="shared" si="27"/>
        <v>High Cost</v>
      </c>
      <c r="O244" s="33">
        <f t="shared" si="28"/>
        <v>0.33333333333333331</v>
      </c>
      <c r="P244" s="57">
        <v>0.11</v>
      </c>
      <c r="Q244" s="48">
        <f t="shared" si="29"/>
        <v>0.17502770722511674</v>
      </c>
      <c r="R244" s="60">
        <f t="shared" si="30"/>
        <v>0.21884164550086835</v>
      </c>
      <c r="S244" s="61" t="str">
        <f t="shared" si="31"/>
        <v>Low Risk</v>
      </c>
    </row>
    <row r="245" spans="1:19" ht="15.6" x14ac:dyDescent="0.3">
      <c r="A245" s="36" t="s">
        <v>250</v>
      </c>
      <c r="B245" s="36" t="s">
        <v>515</v>
      </c>
      <c r="C245" s="36" t="s">
        <v>259</v>
      </c>
      <c r="D245" s="37">
        <v>2285034.36</v>
      </c>
      <c r="E245" s="38">
        <v>1732396.8173838102</v>
      </c>
      <c r="F245" s="39">
        <v>0.75814913233243908</v>
      </c>
      <c r="G245" s="40">
        <v>0.13995413180570293</v>
      </c>
      <c r="H245" s="41">
        <v>0.78577452084039467</v>
      </c>
      <c r="I245" s="42">
        <v>2</v>
      </c>
      <c r="J245" s="43">
        <v>0.08</v>
      </c>
      <c r="K245" s="51" t="str">
        <f t="shared" si="24"/>
        <v>High Revenue</v>
      </c>
      <c r="L245" s="51" t="str">
        <f t="shared" si="25"/>
        <v>High Profit</v>
      </c>
      <c r="M245" s="53" t="str">
        <f t="shared" si="26"/>
        <v>Strategic Gold</v>
      </c>
      <c r="N245" s="56" t="str">
        <f t="shared" si="27"/>
        <v>Low Cost</v>
      </c>
      <c r="O245" s="33">
        <f t="shared" si="28"/>
        <v>0.33333333333333331</v>
      </c>
      <c r="P245" s="57">
        <v>0.08</v>
      </c>
      <c r="Q245" s="48">
        <f t="shared" si="29"/>
        <v>0.21422547915960533</v>
      </c>
      <c r="R245" s="60">
        <f t="shared" si="30"/>
        <v>0.2216009770812149</v>
      </c>
      <c r="S245" s="61" t="str">
        <f t="shared" si="31"/>
        <v>Low Risk</v>
      </c>
    </row>
    <row r="246" spans="1:19" ht="15.6" x14ac:dyDescent="0.3">
      <c r="A246" s="36" t="s">
        <v>251</v>
      </c>
      <c r="B246" s="36" t="s">
        <v>516</v>
      </c>
      <c r="C246" s="36" t="s">
        <v>259</v>
      </c>
      <c r="D246" s="37">
        <v>1577889.42</v>
      </c>
      <c r="E246" s="38">
        <v>851945.9954829663</v>
      </c>
      <c r="F246" s="39">
        <v>0.53992756696661692</v>
      </c>
      <c r="G246" s="40">
        <v>0.34930204424591427</v>
      </c>
      <c r="H246" s="41">
        <v>0.86212119443049362</v>
      </c>
      <c r="I246" s="42">
        <v>2</v>
      </c>
      <c r="J246" s="43">
        <v>0.13</v>
      </c>
      <c r="K246" s="51" t="str">
        <f t="shared" si="24"/>
        <v>High Revenue</v>
      </c>
      <c r="L246" s="51" t="str">
        <f t="shared" si="25"/>
        <v>High Profit</v>
      </c>
      <c r="M246" s="53" t="str">
        <f t="shared" si="26"/>
        <v>Strategic Gold</v>
      </c>
      <c r="N246" s="56" t="str">
        <f t="shared" si="27"/>
        <v>Low Cost</v>
      </c>
      <c r="O246" s="33">
        <f t="shared" si="28"/>
        <v>0.33333333333333331</v>
      </c>
      <c r="P246" s="57">
        <v>0.13</v>
      </c>
      <c r="Q246" s="48">
        <f t="shared" si="29"/>
        <v>0.13787880556950638</v>
      </c>
      <c r="R246" s="60">
        <f t="shared" si="30"/>
        <v>0.21369697500418525</v>
      </c>
      <c r="S246" s="61" t="str">
        <f t="shared" si="31"/>
        <v>Low Risk</v>
      </c>
    </row>
    <row r="247" spans="1:19" ht="15.6" x14ac:dyDescent="0.3">
      <c r="A247" s="36" t="s">
        <v>252</v>
      </c>
      <c r="B247" s="36" t="s">
        <v>517</v>
      </c>
      <c r="C247" s="36" t="s">
        <v>260</v>
      </c>
      <c r="D247" s="37">
        <v>10282637.4</v>
      </c>
      <c r="E247" s="38">
        <v>6202830.3522005854</v>
      </c>
      <c r="F247" s="39">
        <v>0.60323340315399876</v>
      </c>
      <c r="G247" s="40">
        <v>0.27043548185410099</v>
      </c>
      <c r="H247" s="41">
        <v>0.81389774404540594</v>
      </c>
      <c r="I247" s="42">
        <v>5</v>
      </c>
      <c r="J247" s="43">
        <v>0.16</v>
      </c>
      <c r="K247" s="51" t="str">
        <f t="shared" si="24"/>
        <v>High Revenue</v>
      </c>
      <c r="L247" s="51" t="str">
        <f t="shared" si="25"/>
        <v>High Profit</v>
      </c>
      <c r="M247" s="53" t="str">
        <f t="shared" si="26"/>
        <v>Strategic Gold</v>
      </c>
      <c r="N247" s="56" t="str">
        <f t="shared" si="27"/>
        <v>Low Cost</v>
      </c>
      <c r="O247" s="33">
        <f t="shared" si="28"/>
        <v>0.83333333333333337</v>
      </c>
      <c r="P247" s="57">
        <v>0.16</v>
      </c>
      <c r="Q247" s="48">
        <f t="shared" si="29"/>
        <v>0.18610225595459406</v>
      </c>
      <c r="R247" s="60">
        <f t="shared" si="30"/>
        <v>0.43716401011971157</v>
      </c>
      <c r="S247" s="61" t="str">
        <f t="shared" si="31"/>
        <v>Medium Risk</v>
      </c>
    </row>
    <row r="248" spans="1:19" ht="15.6" x14ac:dyDescent="0.3">
      <c r="A248" s="36" t="s">
        <v>253</v>
      </c>
      <c r="B248" s="36" t="s">
        <v>518</v>
      </c>
      <c r="C248" s="36" t="s">
        <v>258</v>
      </c>
      <c r="D248" s="37">
        <v>133244.1</v>
      </c>
      <c r="E248" s="38">
        <v>-60998.499966212716</v>
      </c>
      <c r="F248" s="39">
        <v>-0.45779512913677012</v>
      </c>
      <c r="G248" s="40">
        <v>1.2260205142291478</v>
      </c>
      <c r="H248" s="41">
        <v>0.7810432824721788</v>
      </c>
      <c r="I248" s="42">
        <v>3</v>
      </c>
      <c r="J248" s="43">
        <v>0.1</v>
      </c>
      <c r="K248" s="51" t="str">
        <f t="shared" si="24"/>
        <v>Low Revenue</v>
      </c>
      <c r="L248" s="51" t="str">
        <f t="shared" si="25"/>
        <v>Low Profit</v>
      </c>
      <c r="M248" s="53" t="str">
        <f t="shared" si="26"/>
        <v>Value Destroyers</v>
      </c>
      <c r="N248" s="56" t="str">
        <f t="shared" si="27"/>
        <v>High Cost</v>
      </c>
      <c r="O248" s="33">
        <f t="shared" si="28"/>
        <v>0.5</v>
      </c>
      <c r="P248" s="57">
        <v>0.1</v>
      </c>
      <c r="Q248" s="48">
        <f t="shared" si="29"/>
        <v>0.2189567175278212</v>
      </c>
      <c r="R248" s="60">
        <f t="shared" si="30"/>
        <v>0.2956870152583464</v>
      </c>
      <c r="S248" s="61" t="str">
        <f t="shared" si="31"/>
        <v>Low Risk</v>
      </c>
    </row>
    <row r="249" spans="1:19" ht="15.6" x14ac:dyDescent="0.3">
      <c r="A249" s="36" t="s">
        <v>254</v>
      </c>
      <c r="B249" s="36" t="s">
        <v>519</v>
      </c>
      <c r="C249" s="36" t="s">
        <v>260</v>
      </c>
      <c r="D249" s="37">
        <v>10007977.82</v>
      </c>
      <c r="E249" s="38">
        <v>6614409.0080579985</v>
      </c>
      <c r="F249" s="39">
        <v>0.66091363580360118</v>
      </c>
      <c r="G249" s="40">
        <v>0.24607668445052569</v>
      </c>
      <c r="H249" s="41">
        <v>0.93321097042958467</v>
      </c>
      <c r="I249" s="42">
        <v>0</v>
      </c>
      <c r="J249" s="43">
        <v>0.18</v>
      </c>
      <c r="K249" s="51" t="str">
        <f t="shared" si="24"/>
        <v>High Revenue</v>
      </c>
      <c r="L249" s="51" t="str">
        <f t="shared" si="25"/>
        <v>High Profit</v>
      </c>
      <c r="M249" s="53" t="str">
        <f t="shared" si="26"/>
        <v>Strategic Gold</v>
      </c>
      <c r="N249" s="56" t="str">
        <f t="shared" si="27"/>
        <v>Low Cost</v>
      </c>
      <c r="O249" s="33">
        <f t="shared" si="28"/>
        <v>0</v>
      </c>
      <c r="P249" s="57">
        <v>0.18</v>
      </c>
      <c r="Q249" s="48">
        <f t="shared" si="29"/>
        <v>6.6789029570415326E-2</v>
      </c>
      <c r="R249" s="60">
        <f t="shared" si="30"/>
        <v>7.4036708871124596E-2</v>
      </c>
      <c r="S249" s="61" t="str">
        <f t="shared" si="31"/>
        <v>Low Risk</v>
      </c>
    </row>
    <row r="250" spans="1:19" ht="15.6" x14ac:dyDescent="0.3">
      <c r="A250" s="36" t="s">
        <v>255</v>
      </c>
      <c r="B250" s="36"/>
      <c r="C250" s="36" t="s">
        <v>258</v>
      </c>
      <c r="D250" s="37">
        <v>239218.56</v>
      </c>
      <c r="E250" s="38">
        <v>107691.91411668385</v>
      </c>
      <c r="F250" s="39">
        <v>0.45018210174279061</v>
      </c>
      <c r="G250" s="40">
        <v>0.42630471481811444</v>
      </c>
      <c r="H250" s="41">
        <v>0.81089869254950742</v>
      </c>
      <c r="I250" s="42">
        <v>4</v>
      </c>
      <c r="J250" s="43">
        <v>0.04</v>
      </c>
      <c r="K250" s="51" t="str">
        <f t="shared" si="24"/>
        <v>High Revenue</v>
      </c>
      <c r="L250" s="51" t="str">
        <f t="shared" si="25"/>
        <v>High Profit</v>
      </c>
      <c r="M250" s="53" t="str">
        <f t="shared" si="26"/>
        <v>Strategic Gold</v>
      </c>
      <c r="N250" s="56" t="str">
        <f t="shared" si="27"/>
        <v>Medium Cost</v>
      </c>
      <c r="O250" s="33">
        <f t="shared" si="28"/>
        <v>0.66666666666666663</v>
      </c>
      <c r="P250" s="57">
        <v>0.04</v>
      </c>
      <c r="Q250" s="48">
        <f t="shared" si="29"/>
        <v>0.18910130745049258</v>
      </c>
      <c r="R250" s="60">
        <f t="shared" si="30"/>
        <v>0.33539705890181443</v>
      </c>
      <c r="S250" s="61" t="str">
        <f t="shared" si="31"/>
        <v>Low Risk</v>
      </c>
    </row>
    <row r="251" spans="1:19" ht="15.6" x14ac:dyDescent="0.3">
      <c r="A251" s="36" t="s">
        <v>256</v>
      </c>
      <c r="B251" s="36"/>
      <c r="C251" s="36" t="s">
        <v>258</v>
      </c>
      <c r="D251" s="37">
        <v>121711.15</v>
      </c>
      <c r="E251" s="38">
        <v>-129818.71222847157</v>
      </c>
      <c r="F251" s="39">
        <v>-1.0666131429082018</v>
      </c>
      <c r="G251" s="40">
        <v>1.7624515091674018</v>
      </c>
      <c r="H251" s="41">
        <v>0.79987193352472907</v>
      </c>
      <c r="I251" s="42">
        <v>3</v>
      </c>
      <c r="J251" s="43">
        <v>0.05</v>
      </c>
      <c r="K251" s="51" t="str">
        <f t="shared" si="24"/>
        <v>Low Revenue</v>
      </c>
      <c r="L251" s="51" t="str">
        <f t="shared" si="25"/>
        <v>Low Profit</v>
      </c>
      <c r="M251" s="53" t="str">
        <f t="shared" si="26"/>
        <v>Value Destroyers</v>
      </c>
      <c r="N251" s="56" t="str">
        <f t="shared" si="27"/>
        <v>High Cost</v>
      </c>
      <c r="O251" s="33">
        <f t="shared" si="28"/>
        <v>0.5</v>
      </c>
      <c r="P251" s="57">
        <v>0.05</v>
      </c>
      <c r="Q251" s="48">
        <f t="shared" si="29"/>
        <v>0.20012806647527093</v>
      </c>
      <c r="R251" s="60">
        <f t="shared" si="30"/>
        <v>0.27503841994258127</v>
      </c>
      <c r="S251" s="61" t="str">
        <f t="shared" si="31"/>
        <v>Low Risk</v>
      </c>
    </row>
    <row r="252" spans="1:19" ht="15.6" x14ac:dyDescent="0.3">
      <c r="A252" s="26" t="s">
        <v>257</v>
      </c>
      <c r="B252" s="26"/>
      <c r="C252" s="26" t="s">
        <v>260</v>
      </c>
      <c r="D252" s="44">
        <v>6405358.7899999991</v>
      </c>
      <c r="E252" s="45">
        <v>4733894.265114163</v>
      </c>
      <c r="F252" s="46">
        <v>0.73905216246507299</v>
      </c>
      <c r="G252" s="47">
        <v>0.16868063685781451</v>
      </c>
      <c r="H252" s="48">
        <v>0.76730025354060383</v>
      </c>
      <c r="I252" s="49">
        <v>6</v>
      </c>
      <c r="J252" s="50">
        <v>0.33</v>
      </c>
      <c r="K252" s="51" t="str">
        <f t="shared" si="24"/>
        <v>High Revenue</v>
      </c>
      <c r="L252" s="51" t="str">
        <f t="shared" si="25"/>
        <v>High Profit</v>
      </c>
      <c r="M252" s="53" t="str">
        <f t="shared" si="26"/>
        <v>Strategic Gold</v>
      </c>
      <c r="N252" s="56" t="str">
        <f t="shared" si="27"/>
        <v>Low Cost</v>
      </c>
      <c r="O252" s="33">
        <f t="shared" si="28"/>
        <v>1</v>
      </c>
      <c r="P252" s="58">
        <v>0.33</v>
      </c>
      <c r="Q252" s="48">
        <f t="shared" si="29"/>
        <v>0.23269974645939617</v>
      </c>
      <c r="R252" s="60">
        <f t="shared" si="30"/>
        <v>0.56880992393781882</v>
      </c>
      <c r="S252" s="61" t="str">
        <f t="shared" si="31"/>
        <v>Medium Risk</v>
      </c>
    </row>
  </sheetData>
  <autoFilter ref="A2:S252" xr:uid="{14C505CE-6A54-4FAF-A174-ECBE72CF4730}"/>
  <mergeCells count="2">
    <mergeCell ref="K1:M1"/>
    <mergeCell ref="O1:S1"/>
  </mergeCells>
  <conditionalFormatting sqref="C3:C252">
    <cfRule type="containsText" dxfId="21" priority="32" operator="containsText" text="Enterprise">
      <formula>NOT(ISERROR(SEARCH("Enterprise",C3)))</formula>
    </cfRule>
    <cfRule type="containsText" dxfId="20" priority="33" operator="containsText" text="Mid">
      <formula>NOT(ISERROR(SEARCH("Mid",C3)))</formula>
    </cfRule>
    <cfRule type="containsText" dxfId="19" priority="34" operator="containsText" text="SMB">
      <formula>NOT(ISERROR(SEARCH("SMB",C3)))</formula>
    </cfRule>
  </conditionalFormatting>
  <conditionalFormatting sqref="E3:F252">
    <cfRule type="cellIs" dxfId="18" priority="28" operator="lessThan">
      <formula>0</formula>
    </cfRule>
    <cfRule type="cellIs" dxfId="17" priority="29" operator="greaterThan">
      <formula>0</formula>
    </cfRule>
  </conditionalFormatting>
  <conditionalFormatting sqref="M1:M1048576 N2:S2">
    <cfRule type="containsText" dxfId="16" priority="20" operator="containsText" text="Value">
      <formula>NOT(ISERROR(SEARCH("Value",M1)))</formula>
    </cfRule>
    <cfRule type="containsText" dxfId="15" priority="21" operator="containsText" text="Hidden">
      <formula>NOT(ISERROR(SEARCH("Hidden",M1)))</formula>
    </cfRule>
    <cfRule type="containsText" dxfId="14" priority="22" operator="containsText" text="Margin">
      <formula>NOT(ISERROR(SEARCH("Margin",M1)))</formula>
    </cfRule>
    <cfRule type="containsText" dxfId="13" priority="23" operator="containsText" text="Strategic">
      <formula>NOT(ISERROR(SEARCH("Strategic",M1)))</formula>
    </cfRule>
  </conditionalFormatting>
  <conditionalFormatting sqref="N1:N1048576 O2:S2">
    <cfRule type="containsText" dxfId="12" priority="8" operator="containsText" text="Medium">
      <formula>NOT(ISERROR(SEARCH("Medium",N1)))</formula>
    </cfRule>
    <cfRule type="containsText" dxfId="11" priority="9" operator="containsText" text="Low">
      <formula>NOT(ISERROR(SEARCH("Low",N1)))</formula>
    </cfRule>
    <cfRule type="containsText" dxfId="10" priority="10" operator="containsText" text="High">
      <formula>NOT(ISERROR(SEARCH("High",N1)))</formula>
    </cfRule>
    <cfRule type="containsText" dxfId="9" priority="11" operator="containsText" text="Low">
      <formula>NOT(ISERROR(SEARCH("Low",N1)))</formula>
    </cfRule>
    <cfRule type="containsText" dxfId="8" priority="12" operator="containsText" text="High">
      <formula>NOT(ISERROR(SEARCH("High",N1)))</formula>
    </cfRule>
  </conditionalFormatting>
  <conditionalFormatting sqref="N2:S2 M1:M1048576">
    <cfRule type="containsText" dxfId="7" priority="18" operator="containsText" text="Value">
      <formula>NOT(ISERROR(SEARCH("Value",M1)))</formula>
    </cfRule>
  </conditionalFormatting>
  <conditionalFormatting sqref="O1">
    <cfRule type="containsText" dxfId="6" priority="3" operator="containsText" text="Medium">
      <formula>NOT(ISERROR(SEARCH("Medium",O1)))</formula>
    </cfRule>
    <cfRule type="containsText" dxfId="5" priority="4" operator="containsText" text="Low">
      <formula>NOT(ISERROR(SEARCH("Low",O1)))</formula>
    </cfRule>
    <cfRule type="containsText" dxfId="4" priority="5" operator="containsText" text="High">
      <formula>NOT(ISERROR(SEARCH("High",O1)))</formula>
    </cfRule>
    <cfRule type="containsText" dxfId="3" priority="6" operator="containsText" text="Low">
      <formula>NOT(ISERROR(SEARCH("Low",O1)))</formula>
    </cfRule>
    <cfRule type="containsText" dxfId="2" priority="7" operator="containsText" text="High">
      <formula>NOT(ISERROR(SEARCH("High",O1)))</formula>
    </cfRule>
  </conditionalFormatting>
  <conditionalFormatting sqref="S3:S252">
    <cfRule type="containsText" dxfId="1" priority="1" operator="containsText" text="Medium">
      <formula>NOT(ISERROR(SEARCH("Medium",S3)))</formula>
    </cfRule>
    <cfRule type="containsText" dxfId="0" priority="2" operator="containsText" text="Low">
      <formula>NOT(ISERROR(SEARCH("Low",S3)))</formula>
    </cfRule>
  </conditionalFormatting>
  <pageMargins left="0.7" right="0.7" top="0.75" bottom="0.75" header="0.3" footer="0.3"/>
  <ignoredErrors>
    <ignoredError sqref="K4:K252 O4:O252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1D5F-01D1-4F98-92A4-1C9D7AAACAAE}">
  <dimension ref="A16:E33"/>
  <sheetViews>
    <sheetView showGridLines="0" zoomScale="58" workbookViewId="0">
      <selection activeCell="A20" sqref="A20"/>
    </sheetView>
  </sheetViews>
  <sheetFormatPr defaultRowHeight="14.4" x14ac:dyDescent="0.3"/>
  <cols>
    <col min="1" max="1" width="32.88671875" customWidth="1"/>
    <col min="3" max="3" width="32" bestFit="1" customWidth="1"/>
    <col min="5" max="5" width="44" bestFit="1" customWidth="1"/>
    <col min="7" max="7" width="61.44140625" bestFit="1" customWidth="1"/>
  </cols>
  <sheetData>
    <row r="16" spans="5:5" x14ac:dyDescent="0.3">
      <c r="E16" s="4"/>
    </row>
    <row r="33" spans="1:1" ht="25.8" x14ac:dyDescent="0.5">
      <c r="A33" s="63" t="s">
        <v>572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Customer_Master</vt:lpstr>
      <vt:lpstr>Cost_Drivers</vt:lpstr>
      <vt:lpstr>Finance_Assumptions</vt:lpstr>
      <vt:lpstr>Customer_Economics</vt:lpstr>
      <vt:lpstr>Segmentation_Model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Dutta</dc:creator>
  <cp:lastModifiedBy>Sarthak Dutta</cp:lastModifiedBy>
  <dcterms:created xsi:type="dcterms:W3CDTF">2025-12-29T06:46:45Z</dcterms:created>
  <dcterms:modified xsi:type="dcterms:W3CDTF">2026-01-01T04:56:06Z</dcterms:modified>
</cp:coreProperties>
</file>